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mazon Sales\Amazon Sales 2025\"/>
    </mc:Choice>
  </mc:AlternateContent>
  <xr:revisionPtr revIDLastSave="0" documentId="13_ncr:9_{B14468DD-EA5D-4718-A6A9-D22B3925E0E7}" xr6:coauthVersionLast="47" xr6:coauthVersionMax="47" xr10:uidLastSave="{00000000-0000-0000-0000-000000000000}"/>
  <bookViews>
    <workbookView xWindow="-108" yWindow="-108" windowWidth="23256" windowHeight="12456" firstSheet="1" activeTab="5" xr2:uid="{C80FA830-CEF2-49DD-8344-4FB16566A69B}"/>
  </bookViews>
  <sheets>
    <sheet name="amazon_sales_data 2025" sheetId="1" r:id="rId1"/>
    <sheet name="Data Validation" sheetId="2" r:id="rId2"/>
    <sheet name="KPI's &amp; Pivot" sheetId="3" r:id="rId3"/>
    <sheet name="Key Analysis" sheetId="4" r:id="rId4"/>
    <sheet name="Dashboard" sheetId="5" r:id="rId5"/>
    <sheet name="Revenue MIS Report" sheetId="6" r:id="rId6"/>
  </sheets>
  <definedNames>
    <definedName name="_xlnm._FilterDatabase" localSheetId="0" hidden="1">'amazon_sales_data 2025'!$A$1:$K$251</definedName>
    <definedName name="_xlnm._FilterDatabase" localSheetId="5" hidden="1">'Revenue MIS Report'!$A$18:$I$18</definedName>
    <definedName name="Slicer_Category">#N/A</definedName>
    <definedName name="Slicer_Payment_Method">#N/A</definedName>
    <definedName name="Slicer_Quarter">#N/A</definedName>
    <definedName name="Slicer_Status">#N/A</definedName>
  </definedNames>
  <calcPr calcId="0"/>
  <pivotCaches>
    <pivotCache cacheId="2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9" i="6" l="1" a="1"/>
  <c r="A39" i="6" s="1"/>
  <c r="B39" i="6" s="1"/>
  <c r="A27" i="6" a="1"/>
  <c r="A27" i="6" s="1"/>
  <c r="B27" i="6" s="1"/>
  <c r="C20" i="6"/>
  <c r="C21" i="6"/>
  <c r="E20" i="6"/>
  <c r="E21" i="6"/>
  <c r="E19" i="6"/>
  <c r="D20" i="6"/>
  <c r="D21" i="6"/>
  <c r="D19" i="6"/>
  <c r="C19" i="6"/>
  <c r="B20" i="6"/>
  <c r="B21" i="6"/>
  <c r="B19" i="6"/>
  <c r="B22" i="6"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C4" i="4"/>
  <c r="A7" i="6" a="1"/>
  <c r="A7" i="6" s="1"/>
  <c r="E7" i="6" s="1"/>
  <c r="E5" i="4"/>
  <c r="E6" i="4"/>
  <c r="E7" i="4"/>
  <c r="E8" i="4"/>
  <c r="E4" i="4"/>
  <c r="D7" i="4"/>
  <c r="D5" i="4"/>
  <c r="D6" i="4"/>
  <c r="D8" i="4"/>
  <c r="D4" i="4"/>
  <c r="D2" i="3"/>
  <c r="D22" i="6" l="1"/>
  <c r="C22" i="6"/>
  <c r="E22" i="6"/>
  <c r="F41" i="6"/>
  <c r="F40" i="6"/>
  <c r="F39" i="6"/>
  <c r="F48" i="6"/>
  <c r="F47" i="6"/>
  <c r="F42" i="6"/>
  <c r="F46" i="6"/>
  <c r="F45" i="6"/>
  <c r="F44" i="6"/>
  <c r="F43" i="6"/>
  <c r="B41" i="6"/>
  <c r="C40" i="6"/>
  <c r="E27" i="6"/>
  <c r="B40" i="6"/>
  <c r="E39" i="6"/>
  <c r="E48" i="6"/>
  <c r="C39" i="6"/>
  <c r="E47" i="6"/>
  <c r="C41" i="6"/>
  <c r="C48" i="6"/>
  <c r="E46" i="6"/>
  <c r="B48" i="6"/>
  <c r="C47" i="6"/>
  <c r="E45" i="6"/>
  <c r="B47" i="6"/>
  <c r="E44" i="6"/>
  <c r="B42" i="6"/>
  <c r="C46" i="6"/>
  <c r="B46" i="6"/>
  <c r="C45" i="6"/>
  <c r="E43" i="6"/>
  <c r="E42" i="6"/>
  <c r="B44" i="6"/>
  <c r="C43" i="6"/>
  <c r="E41" i="6"/>
  <c r="B45" i="6"/>
  <c r="C44" i="6"/>
  <c r="B43" i="6"/>
  <c r="C42" i="6"/>
  <c r="E40" i="6"/>
  <c r="F19" i="6"/>
  <c r="B29" i="6"/>
  <c r="D28" i="6"/>
  <c r="H27" i="6"/>
  <c r="F27" i="6"/>
  <c r="G21" i="6"/>
  <c r="H21" i="6" s="1"/>
  <c r="B28" i="6"/>
  <c r="H31" i="6"/>
  <c r="G20" i="6"/>
  <c r="H20" i="6" s="1"/>
  <c r="E31" i="6"/>
  <c r="H30" i="6"/>
  <c r="E30" i="6"/>
  <c r="H29" i="6"/>
  <c r="E29" i="6"/>
  <c r="H28" i="6"/>
  <c r="B30" i="6"/>
  <c r="E28" i="6"/>
  <c r="D29" i="6"/>
  <c r="C7" i="6"/>
  <c r="F31" i="6"/>
  <c r="D27" i="6"/>
  <c r="F30" i="6"/>
  <c r="D31" i="6"/>
  <c r="F29" i="6"/>
  <c r="B31" i="6"/>
  <c r="D30" i="6"/>
  <c r="F28" i="6"/>
  <c r="I20" i="6"/>
  <c r="C11" i="6"/>
  <c r="H11" i="6"/>
  <c r="C10" i="6"/>
  <c r="G7" i="6"/>
  <c r="C9" i="6"/>
  <c r="F7" i="6"/>
  <c r="H9" i="6"/>
  <c r="F21" i="6"/>
  <c r="D8" i="6"/>
  <c r="G10" i="6"/>
  <c r="B8" i="6"/>
  <c r="E10" i="6"/>
  <c r="H7" i="6"/>
  <c r="E9" i="6"/>
  <c r="H10" i="6"/>
  <c r="C8" i="6"/>
  <c r="J8" i="6" s="1"/>
  <c r="H8" i="6"/>
  <c r="F20" i="6"/>
  <c r="G11" i="6"/>
  <c r="D7" i="6"/>
  <c r="F11" i="6"/>
  <c r="D11" i="6"/>
  <c r="F10" i="6"/>
  <c r="E8" i="6"/>
  <c r="D10" i="6"/>
  <c r="F9" i="6"/>
  <c r="I7" i="6"/>
  <c r="D9" i="6"/>
  <c r="F8" i="6"/>
  <c r="I8" i="6"/>
  <c r="I19" i="6"/>
  <c r="I21" i="6"/>
  <c r="B7" i="6"/>
  <c r="I9" i="6"/>
  <c r="B11" i="6"/>
  <c r="I10" i="6"/>
  <c r="B10" i="6"/>
  <c r="G9" i="6"/>
  <c r="I11" i="6"/>
  <c r="B9" i="6"/>
  <c r="E11" i="6"/>
  <c r="G8" i="6"/>
  <c r="C8" i="4"/>
  <c r="C7" i="4"/>
  <c r="C6" i="4"/>
  <c r="C5" i="4"/>
  <c r="L2" i="4"/>
  <c r="F2" i="4"/>
  <c r="B5" i="4"/>
  <c r="B6" i="4"/>
  <c r="B7" i="4"/>
  <c r="B8" i="4"/>
  <c r="B4" i="4"/>
  <c r="A2" i="4"/>
  <c r="A4" i="4" a="1"/>
  <c r="A4" i="4" s="1"/>
  <c r="F2" i="3"/>
  <c r="H2" i="3" a="1"/>
  <c r="H2" i="3" s="1"/>
  <c r="G2" i="3"/>
  <c r="B2" i="3"/>
  <c r="E2" i="3"/>
  <c r="C2" i="3" a="1"/>
  <c r="C2" i="3" s="1"/>
  <c r="B1" i="2"/>
  <c r="F22" i="6" l="1"/>
  <c r="G44" i="6"/>
  <c r="G40" i="6"/>
  <c r="G47" i="6"/>
  <c r="G43" i="6"/>
  <c r="B32" i="6"/>
  <c r="C27" i="6" s="1"/>
  <c r="G48" i="6"/>
  <c r="G41" i="6"/>
  <c r="G45" i="6"/>
  <c r="G39" i="6"/>
  <c r="G46" i="6"/>
  <c r="G42" i="6"/>
  <c r="B49" i="6"/>
  <c r="C49" i="6"/>
  <c r="D41" i="6" s="1"/>
  <c r="D39" i="6"/>
  <c r="E49" i="6"/>
  <c r="D32" i="6"/>
  <c r="E32" i="6"/>
  <c r="J10" i="6"/>
  <c r="F32" i="6"/>
  <c r="G27" i="6" s="1"/>
  <c r="K10" i="6"/>
  <c r="H32" i="6"/>
  <c r="I28" i="6" s="1"/>
  <c r="K8" i="6"/>
  <c r="K11" i="6"/>
  <c r="J9" i="6"/>
  <c r="E12" i="6"/>
  <c r="J11" i="6"/>
  <c r="I12" i="6"/>
  <c r="K9" i="6"/>
  <c r="H12" i="6"/>
  <c r="B12" i="6"/>
  <c r="D12" i="6"/>
  <c r="K7" i="6"/>
  <c r="C12" i="6"/>
  <c r="J7" i="6"/>
  <c r="F12" i="6"/>
  <c r="G12" i="6"/>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B6" i="2"/>
  <c r="B5" i="2"/>
  <c r="B4" i="2"/>
  <c r="D40" i="6" l="1"/>
  <c r="D44" i="6"/>
  <c r="D48" i="6"/>
  <c r="D42" i="6"/>
  <c r="D46" i="6"/>
  <c r="D43" i="6"/>
  <c r="D45" i="6"/>
  <c r="D47" i="6"/>
  <c r="G28" i="6"/>
  <c r="G29" i="6"/>
  <c r="G31" i="6"/>
  <c r="G30" i="6"/>
  <c r="I30" i="6"/>
  <c r="I29" i="6"/>
  <c r="I31" i="6"/>
  <c r="C31" i="6"/>
  <c r="I27" i="6"/>
  <c r="C29" i="6"/>
  <c r="C30" i="6"/>
  <c r="C28"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<sst xmlns="http://schemas.openxmlformats.org/spreadsheetml/2006/main" count="1958" uniqueCount="401">
  <si>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</si>
  <si>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</si>
  <si>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</si>
  <si>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</si>
  <si>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</si>
  <si>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</si>
  <si>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</si>
  <si>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</si>
  <si>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</si>
  <si>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</si>
  <si>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</si>
  <si>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</si>
  <si>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</si>
  <si>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</si>
  <si>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</si>
  <si>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</si>
  <si>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</si>
  <si>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</si>
  <si>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</si>
  <si>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</si>
  <si>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</si>
  <si>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</si>
  <si>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</si>
  <si>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</si>
  <si>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</si>
  <si>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</si>
  <si>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</si>
  <si>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</si>
  <si>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</si>
  <si>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</si>
  <si>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</si>
  <si>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</si>
  <si>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</si>
  <si>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</si>
  <si>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</si>
  <si>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</si>
  <si>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</si>
  <si>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</si>
  <si>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</si>
  <si>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</si>
  <si>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</si>
  <si>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</si>
  <si>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</si>
  <si>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</si>
  <si>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</si>
  <si>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</si>
  <si>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</si>
  <si>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</si>
  <si>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</si>
  <si>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</si>
  <si>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</si>
  <si>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</si>
  <si>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</si>
  <si>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</si>
  <si>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</si>
  <si>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</si>
  <si>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</si>
  <si>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</si>
  <si>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</si>
  <si>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</si>
  <si>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</si>
  <si>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</si>
  <si>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</si>
  <si>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</si>
  <si>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</si>
  <si>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</si>
  <si>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</si>
  <si>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</si>
  <si>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</si>
  <si>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</si>
  <si>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</si>
  <si>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</si>
  <si>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</si>
  <si>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</si>
  <si>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</si>
  <si>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</si>
  <si>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</si>
  <si>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</si>
  <si>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</si>
  <si>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</si>
  <si>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</si>
  <si>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</si>
  <si>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</si>
  <si>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</si>
  <si>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</si>
  <si>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</si>
  <si>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</si>
  <si>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</si>
  <si>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</si>
  <si>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</si>
  <si>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</si>
  <si>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</si>
  <si>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</si>
  <si>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</si>
  <si>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</si>
  <si>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</si>
  <si>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</si>
  <si>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</si>
  <si>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</si>
  <si>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</si>
  <si>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</si>
  <si>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</si>
  <si>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</si>
  <si>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</si>
  <si>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</si>
  <si>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</si>
  <si>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</si>
  <si>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</si>
  <si>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</si>
  <si>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</si>
  <si>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</si>
  <si>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</si>
  <si>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</si>
  <si>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</si>
  <si>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</si>
  <si>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</si>
  <si>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</si>
  <si>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</si>
  <si>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</si>
  <si>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</si>
  <si>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</si>
  <si>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</si>
  <si>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</si>
  <si>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</si>
  <si>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</si>
  <si>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</si>
  <si>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</si>
  <si>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</si>
  <si>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</si>
  <si>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</si>
  <si>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</si>
  <si>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</si>
  <si>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</si>
  <si>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</si>
  <si>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</si>
  <si>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</si>
  <si>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</si>
  <si>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</si>
  <si>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</si>
  <si>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</si>
  <si>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</si>
  <si>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</si>
  <si>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</si>
  <si>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</si>
  <si>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</si>
  <si>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</si>
  <si>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</si>
  <si>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</si>
  <si>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</si>
  <si>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</si>
  <si>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</si>
  <si>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</si>
  <si>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</si>
  <si>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</si>
  <si>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</si>
  <si>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</si>
  <si>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</si>
  <si>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</si>
  <si>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</si>
  <si>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</si>
  <si>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</si>
  <si>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</si>
  <si>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</si>
  <si>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</si>
  <si>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</si>
  <si>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</si>
  <si>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</si>
  <si>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</si>
  <si>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</si>
  <si>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</si>
  <si>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</si>
  <si>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</si>
  <si>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</si>
  <si>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</si>
  <si>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</si>
  <si>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</si>
  <si>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</si>
  <si>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</si>
  <si>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</si>
  <si>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</si>
  <si>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</si>
  <si>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</si>
  <si>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</si>
  <si>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</si>
  <si>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</si>
  <si>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</si>
  <si>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</si>
  <si>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</si>
  <si>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</si>
  <si>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</si>
  <si>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</si>
  <si>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</si>
  <si>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</si>
  <si>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</si>
  <si>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</si>
  <si>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</si>
  <si>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</si>
  <si>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</si>
  <si>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</si>
  <si>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</si>
  <si>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</si>
  <si>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</si>
  <si>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</si>
  <si>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</si>
  <si>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</si>
  <si>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</si>
  <si>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</si>
  <si>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</si>
  <si>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</si>
  <si>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</si>
  <si>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</si>
  <si>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</si>
  <si>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</si>
  <si>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</si>
  <si>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</si>
  <si>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</si>
  <si>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</si>
  <si>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</si>
  <si>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</si>
  <si>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</si>
  <si>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</si>
  <si>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</si>
  <si>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</si>
  <si>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</si>
  <si>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</si>
  <si>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</si>
  <si>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</si>
  <si>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</si>
  <si>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</si>
  <si>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</si>
  <si>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</si>
  <si>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</si>
  <si>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</si>
  <si>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</si>
  <si>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</si>
  <si>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</si>
  <si>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</si>
  <si>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</si>
  <si>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</si>
  <si>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</si>
  <si>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</si>
  <si>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</si>
  <si>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</si>
  <si>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</si>
  <si>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</si>
  <si>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</si>
  <si>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</si>
  <si>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</si>
  <si>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</si>
  <si>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</si>
  <si>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</si>
  <si>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</si>
  <si>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</si>
  <si>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</si>
  <si>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</si>
  <si>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</si>
  <si>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</si>
  <si>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</si>
  <si>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</si>
  <si>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</si>
  <si>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</si>
  <si>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</si>
  <si>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</si>
  <si>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</si>
  <si>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</si>
  <si>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</si>
  <si>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</si>
  <si>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</si>
  <si>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</si>
  <si>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</si>
  <si>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</si>
  <si>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</si>
  <si>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</si>
  <si>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</si>
  <si>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</si>
  <si>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</si>
  <si>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</si>
  <si>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</si>
  <si>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</si>
  <si>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</si>
  <si>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</si>
  <si>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</si>
  <si>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</si>
  <si>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</si>
  <si>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</si>
  <si>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</si>
  <si>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</si>
  <si>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</si>
  <si>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</si>
  <si>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</si>
  <si>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</si>
  <si>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</si>
  <si>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</si>
  <si>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</si>
  <si>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</si>
  <si>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</si>
  <si>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</si>
  <si>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</si>
  <si>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</si>
  <si>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</si>
  <si>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</si>
  <si>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</si>
  <si>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</si>
  <si>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</si>
  <si>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Total rows = 250</t>
  </si>
  <si>
    <t>No duplicate Order IDs</t>
  </si>
  <si>
    <t>Remove Duplicates on Order ID column</t>
  </si>
  <si>
    <t>Date column is proper date format</t>
  </si>
  <si>
    <t>Format Cells → Date</t>
  </si>
  <si>
    <t>Total Sales = Price × Quantity</t>
  </si>
  <si>
    <t>No blank Status values</t>
  </si>
  <si>
    <t>Status only has 3 valid values</t>
  </si>
  <si>
    <t>Month</t>
  </si>
  <si>
    <t>Month Number</t>
  </si>
  <si>
    <t>Quarter</t>
  </si>
  <si>
    <t>Revenue Bucket</t>
  </si>
  <si>
    <t>Order Size</t>
  </si>
  <si>
    <t>Is Completed</t>
  </si>
  <si>
    <t>Is Cancelled</t>
  </si>
  <si>
    <t>Revenue Lost</t>
  </si>
  <si>
    <t>Total Revenue</t>
  </si>
  <si>
    <t>Total Orders</t>
  </si>
  <si>
    <t>Completion Rate</t>
  </si>
  <si>
    <t>Cancellation Rate</t>
  </si>
  <si>
    <t>Avg Order Value</t>
  </si>
  <si>
    <t>Revenue Lost to Cancellations</t>
  </si>
  <si>
    <t>Top Category by Revenue</t>
  </si>
  <si>
    <t>Row Labels</t>
  </si>
  <si>
    <t>Grand Total</t>
  </si>
  <si>
    <t>Sum of Total Sales</t>
  </si>
  <si>
    <t>Best Month</t>
  </si>
  <si>
    <t>Count of Order ID</t>
  </si>
  <si>
    <t>Count of Orders</t>
  </si>
  <si>
    <t>Monthly Revenue Trend</t>
  </si>
  <si>
    <t xml:space="preserve"> Revenue by Category</t>
  </si>
  <si>
    <t>Average of Price</t>
  </si>
  <si>
    <t>Order Status Breakdown</t>
  </si>
  <si>
    <t>Sum of Total Sales2</t>
  </si>
  <si>
    <t>Revenue by Customer Location (City)</t>
  </si>
  <si>
    <t>Payment Method Analysis</t>
  </si>
  <si>
    <t>Top 10 Customers by Revenue</t>
  </si>
  <si>
    <t>Category × Order Status (Cancellation Risk)</t>
  </si>
  <si>
    <t>Column Labels</t>
  </si>
  <si>
    <t>Quarterly Revenue Summary</t>
  </si>
  <si>
    <t>Q1</t>
  </si>
  <si>
    <t>Q2</t>
  </si>
  <si>
    <t>Cancellation Leakage Analysis</t>
  </si>
  <si>
    <t xml:space="preserve">Revenue Loss </t>
  </si>
  <si>
    <t>Payment Method vs. Completion Rate</t>
  </si>
  <si>
    <t>Avg Order Value by Category</t>
  </si>
  <si>
    <t>AOV</t>
  </si>
  <si>
    <t>Categories</t>
  </si>
  <si>
    <t>Orders</t>
  </si>
  <si>
    <t>Cancellation Count</t>
  </si>
  <si>
    <t>Category Performance</t>
  </si>
  <si>
    <t>Completed Orders</t>
  </si>
  <si>
    <t>Cancelled Orders</t>
  </si>
  <si>
    <t>Pending Orders</t>
  </si>
  <si>
    <t>Total Revenue (₹)</t>
  </si>
  <si>
    <t>Completed Revenue (₹)</t>
  </si>
  <si>
    <t>Revenue Lost to Cancellations (₹)</t>
  </si>
  <si>
    <t>Avg Order Value (₹)</t>
  </si>
  <si>
    <t>Insight</t>
  </si>
  <si>
    <t>Monthly Performance</t>
  </si>
  <si>
    <t>Months</t>
  </si>
  <si>
    <t>MoM Revenue Change (₹)</t>
  </si>
  <si>
    <t>MoM Growth %</t>
  </si>
  <si>
    <t>NA</t>
  </si>
  <si>
    <t>February</t>
  </si>
  <si>
    <t>March</t>
  </si>
  <si>
    <t>April</t>
  </si>
  <si>
    <t>Revenue &amp; Order Performance Dashboard - 2025</t>
  </si>
  <si>
    <t>Running Total Revenue (Cumulative)</t>
  </si>
  <si>
    <t>% of Total Orders</t>
  </si>
  <si>
    <t>City / Location Performance</t>
  </si>
  <si>
    <t xml:space="preserve">City </t>
  </si>
  <si>
    <t>% of Total Revenue</t>
  </si>
  <si>
    <t>Rank</t>
  </si>
  <si>
    <t>Highest cancellation rate at 30% — quality or sizing expectation mismatch; review return reasons</t>
  </si>
  <si>
    <t>Largest category by orders (118) and revenue (₹1,29,950); 28% cancellation rate needs attention — highest revenue at risk</t>
  </si>
  <si>
    <t>33% cancellation rate — worst performer; likely fit/size issues; consider size guide improvement</t>
  </si>
  <si>
    <t>Smallest revenue (₹1,035); cancellation at 28% — most reliable category; scale assortment</t>
  </si>
  <si>
    <t>40% cancellation rate — highest across all categories; urgent investigation needed; delivery or product quality issue</t>
  </si>
  <si>
    <t>₹65,030 total revenue lost to cancellations — 26.7% of gross revenue. Home Appliances and Clothing are the primary leakage drivers.</t>
  </si>
  <si>
    <t>Lowest completion rate at 15.91% with 26% cancellation — highest risk payment method; may indicate impulsive buying</t>
  </si>
  <si>
    <t>Best completion rate at 23.86% with only 9% cancellation — most reliable payment channel; promote this option</t>
  </si>
  <si>
    <t>19.32% completion, 21% cancellation — mid-tier; high avg order value (₹1,140) suggests premium buyers</t>
  </si>
  <si>
    <t>Highest order count (60) and highest total revenue (₹69,645); 34% completion rate — volume leader but reliability concern</t>
  </si>
  <si>
    <t>Lowest completion rate at 6.82% — gift card orders rarely complete; investigate redemption flow</t>
  </si>
  <si>
    <t>Amazon Pay has the lowest cancellation rate (9%) despite mid-range order volume — recommend making it the default payment option at checkout.</t>
  </si>
  <si>
    <t>Ranked 8th despite 26 orders; low avg order value (₹728) — price-sensitive market; target with budget promotions</t>
  </si>
  <si>
    <t>Ranked 10th; lowest order count (19) but decent avg value (₹852) — low penetration market; growth opportunity</t>
  </si>
  <si>
    <t>Ranked 2nd by revenue (₹29,785); 35% cancellation rate — high value but unreliable; investigate delivery issues</t>
  </si>
  <si>
    <t>Ranked 4th; highest cancellation rate at 38% — significant revenue leakage; operational review needed</t>
  </si>
  <si>
    <t>Ranked 3rd by revenue (₹28,390); balanced 22% cancellation — most consistent high-revenue city</t>
  </si>
  <si>
    <t>Ranked 1st by revenue (₹31,700); 39% cancellation rate — top city but highest cancellation risk; priority for retention</t>
  </si>
  <si>
    <t>Ranked 6th; 27% cancellation — mid-performer; avg order value (₹1,006) above average</t>
  </si>
  <si>
    <t>Ranked 5th; lowest cancellation at 23% among top cities; highest avg order value (₹1,222) — premium market</t>
  </si>
  <si>
    <t>53% cancellation rate — worst city performance; only 17 orders but more than half cancel; urgent review</t>
  </si>
  <si>
    <t>Ranked 7th; 23% cancellation — stable performer; growth potential with targeted campaigns</t>
  </si>
  <si>
    <t>Seattle has the highest avg order value (₹1,222) with the most reliable completion rate among top cities — ideal market for premium product launches. Los Angeles has a 53% cancellation rate and should be flagged for immediate operational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</si>
</sst>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70" formatCode="&quot;₹&quot;\ #,##0.00"/>
    <numFmt numFmtId="172" formatCode="&quot;₹&quot;\ #,##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Dubai"/>
      <family val="2"/>
    </font>
    <font>
      <b/>
      <sz val="12"/>
      <color theme="1"/>
      <name val="Calibri"/>
      <family val="2"/>
      <scheme val="minor"/>
    </font>
    <font>
      <b/>
      <sz val="14"/>
      <color theme="1"/>
      <name val="Calibri"/>
      <family val="2"/>
      <scheme val="minor"/>
    </font>
    <font>
      <b/>
      <sz val="14"/>
      <color theme="1"/>
      <name val="Arial Black"/>
      <family val="2"/>
    </font>
    <font>
      <sz val="14"/>
      <color theme="1"/>
      <name val="Calibri"/>
      <family val="2"/>
      <scheme val="minor"/>
    </font>
    <font>
      <b/>
      <sz val="16"/>
      <color theme="1"/>
      <name val="Calibri"/>
      <family val="2"/>
      <scheme val="minor"/>
    </font>
    <font>
      <b/>
      <sz val="18"/>
      <color theme="1"/>
      <name val="Arial Black"/>
      <family val="2"/>
    </font>
    <font>
      <b/>
      <sz val="14"/>
      <color theme="1"/>
      <name val="Book Antiqua"/>
      <family val="1"/>
    </font>
    <font>
      <sz val="14"/>
      <color theme="1"/>
      <name val="Arial Black"/>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2D2D"/>
        <bgColor indexed="64"/>
      </patternFill>
    </fill>
    <fill>
      <patternFill patternType="solid">
        <fgColor theme="5"/>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7"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right/>
      <top style="thin">
        <color rgb="FF999999"/>
      </top>
      <bottom/>
      <diagonal/>
    </border>
    <border>
      <left style="thin">
        <color rgb="FF999999"/>
      </left>
      <right style="thin">
        <color rgb="FF999999"/>
      </right>
      <top style="thin">
        <color rgb="FF999999"/>
      </top>
      <bottom/>
      <diagonal/>
    </border>
    <border>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bottom style="thin">
        <color rgb="FF999999"/>
      </bottom>
      <diagonal/>
    </border>
    <border>
      <left/>
      <right/>
      <top/>
      <bottom style="thin">
        <color theme="1" tint="0.14999847407452621"/>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thin">
        <color theme="1" tint="0.14999847407452621"/>
      </left>
      <right/>
      <top/>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4">
    <xf numFmtId="0" fontId="0" fillId="0" borderId="0" xfId="0"/>
    <xf numFmtId="14" fontId="0" fillId="0" borderId="0" xfId="0" applyNumberFormat="1"/>
    <xf numFmtId="2" fontId="0" fillId="0" borderId="0" xfId="0" applyNumberFormat="1"/>
    <xf numFmtId="1" fontId="0" fillId="0" borderId="0" xfId="0" applyNumberFormat="1"/>
    <xf numFmtId="0" fontId="0" fillId="34" borderId="0" xfId="0" applyFont="1" applyFill="1"/>
    <xf numFmtId="0" fontId="0" fillId="33" borderId="0" xfId="0" applyFont="1" applyFill="1"/>
    <xf numFmtId="0" fontId="0" fillId="0" borderId="0" xfId="0" applyFont="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0" fontId="0" fillId="35" borderId="0" xfId="0" applyFill="1" applyAlignment="1">
      <alignment horizontal="left" vertical="center"/>
    </xf>
    <xf numFmtId="10" fontId="0" fillId="0" borderId="0" xfId="0" applyNumberFormat="1"/>
    <xf numFmtId="0" fontId="0" fillId="0" borderId="10" xfId="0" pivotButton="1" applyBorder="1"/>
    <xf numFmtId="0" fontId="0" fillId="0" borderId="15" xfId="0" applyBorder="1"/>
    <xf numFmtId="0" fontId="0" fillId="0" borderId="10" xfId="0" applyBorder="1" applyAlignment="1">
      <alignment horizontal="left"/>
    </xf>
    <xf numFmtId="0" fontId="0" fillId="0" borderId="10" xfId="0" applyNumberFormat="1" applyBorder="1"/>
    <xf numFmtId="0" fontId="0" fillId="0" borderId="14" xfId="0" applyNumberFormat="1" applyBorder="1"/>
    <xf numFmtId="0" fontId="0" fillId="0" borderId="15" xfId="0" applyNumberFormat="1" applyBorder="1"/>
    <xf numFmtId="0" fontId="0" fillId="0" borderId="13" xfId="0" applyBorder="1" applyAlignment="1">
      <alignment horizontal="left"/>
    </xf>
    <xf numFmtId="0" fontId="0" fillId="0" borderId="13" xfId="0" applyNumberFormat="1" applyBorder="1"/>
    <xf numFmtId="0" fontId="0" fillId="0" borderId="16" xfId="0" applyNumberFormat="1" applyBorder="1"/>
    <xf numFmtId="0" fontId="0" fillId="0" borderId="17" xfId="0" applyNumberFormat="1" applyBorder="1"/>
    <xf numFmtId="0" fontId="0" fillId="0" borderId="18" xfId="0" applyBorder="1" applyAlignment="1">
      <alignment horizontal="left"/>
    </xf>
    <xf numFmtId="0" fontId="0" fillId="0" borderId="20" xfId="0" applyNumberFormat="1" applyBorder="1"/>
    <xf numFmtId="0" fontId="16" fillId="37" borderId="0" xfId="0" applyFont="1" applyFill="1" applyAlignment="1">
      <alignment horizontal="center" vertical="center"/>
    </xf>
    <xf numFmtId="2" fontId="16" fillId="37" borderId="0" xfId="0" applyNumberFormat="1" applyFont="1" applyFill="1" applyAlignment="1">
      <alignment horizontal="center" vertical="center"/>
    </xf>
    <xf numFmtId="0" fontId="18" fillId="36" borderId="0" xfId="0" applyFont="1" applyFill="1" applyAlignment="1">
      <alignment horizontal="center" vertical="center"/>
    </xf>
    <xf numFmtId="0" fontId="0" fillId="38" borderId="0" xfId="0" applyFill="1" applyAlignment="1">
      <alignment horizontal="left"/>
    </xf>
    <xf numFmtId="0" fontId="0" fillId="39" borderId="0" xfId="0" applyFill="1"/>
    <xf numFmtId="172" fontId="0" fillId="0" borderId="0" xfId="0" applyNumberFormat="1" applyAlignment="1">
      <alignment horizontal="center"/>
    </xf>
    <xf numFmtId="0" fontId="17" fillId="40" borderId="0" xfId="0" applyFont="1" applyFill="1"/>
    <xf numFmtId="0" fontId="0" fillId="38" borderId="0" xfId="0" applyFill="1" applyAlignment="1">
      <alignment horizontal="left" vertical="center"/>
    </xf>
    <xf numFmtId="2" fontId="0" fillId="0" borderId="0" xfId="0" applyNumberFormat="1" applyAlignment="1">
      <alignment horizontal="center"/>
    </xf>
    <xf numFmtId="9" fontId="16" fillId="37" borderId="0" xfId="2" applyFont="1" applyFill="1" applyAlignment="1">
      <alignment horizontal="center" vertical="center"/>
    </xf>
    <xf numFmtId="0" fontId="0" fillId="34" borderId="10" xfId="0" applyFill="1" applyBorder="1"/>
    <xf numFmtId="0" fontId="0" fillId="34" borderId="14" xfId="0" applyFill="1" applyBorder="1"/>
    <xf numFmtId="0" fontId="0" fillId="34" borderId="15" xfId="0" applyFill="1" applyBorder="1"/>
    <xf numFmtId="0" fontId="0" fillId="34" borderId="18" xfId="0" applyFill="1" applyBorder="1" applyAlignment="1">
      <alignment horizontal="left"/>
    </xf>
    <xf numFmtId="0" fontId="0" fillId="42" borderId="18" xfId="0" applyNumberFormat="1" applyFill="1" applyBorder="1"/>
    <xf numFmtId="0" fontId="0" fillId="42" borderId="19" xfId="0" applyNumberFormat="1" applyFill="1" applyBorder="1"/>
    <xf numFmtId="0" fontId="16" fillId="43" borderId="20" xfId="0" applyNumberFormat="1" applyFont="1" applyFill="1" applyBorder="1"/>
    <xf numFmtId="0" fontId="16" fillId="0" borderId="13" xfId="0" applyNumberFormat="1" applyFont="1" applyBorder="1"/>
    <xf numFmtId="0" fontId="19" fillId="35" borderId="21" xfId="0" applyFont="1" applyFill="1" applyBorder="1" applyAlignment="1">
      <alignment horizontal="center" vertical="center"/>
    </xf>
    <xf numFmtId="0" fontId="21" fillId="41" borderId="0" xfId="0" applyFont="1" applyFill="1" applyAlignment="1">
      <alignment horizontal="center" vertical="center"/>
    </xf>
    <xf numFmtId="0" fontId="22" fillId="46" borderId="23" xfId="0" applyFont="1" applyFill="1" applyBorder="1"/>
    <xf numFmtId="0" fontId="22" fillId="0" borderId="23" xfId="0" applyFont="1" applyBorder="1"/>
    <xf numFmtId="172" fontId="22" fillId="0" borderId="23" xfId="0" applyNumberFormat="1" applyFont="1" applyBorder="1"/>
    <xf numFmtId="170" fontId="22" fillId="0" borderId="23" xfId="0" applyNumberFormat="1" applyFont="1" applyBorder="1"/>
    <xf numFmtId="9" fontId="22" fillId="0" borderId="23" xfId="2" applyFont="1" applyBorder="1"/>
    <xf numFmtId="0" fontId="20" fillId="39" borderId="23" xfId="0" applyFont="1" applyFill="1" applyBorder="1"/>
    <xf numFmtId="172" fontId="20" fillId="39" borderId="23" xfId="0" applyNumberFormat="1" applyFont="1" applyFill="1" applyBorder="1"/>
    <xf numFmtId="170" fontId="20" fillId="39" borderId="23" xfId="0" applyNumberFormat="1" applyFont="1" applyFill="1" applyBorder="1"/>
    <xf numFmtId="0" fontId="24" fillId="41" borderId="0" xfId="0" applyFont="1" applyFill="1" applyAlignment="1">
      <alignment horizontal="center" vertical="center"/>
    </xf>
    <xf numFmtId="172" fontId="22" fillId="0" borderId="23" xfId="1" applyNumberFormat="1" applyFont="1" applyBorder="1"/>
    <xf numFmtId="0" fontId="20" fillId="45" borderId="23" xfId="0" applyFont="1" applyFill="1" applyBorder="1"/>
    <xf numFmtId="172" fontId="20" fillId="45" borderId="23" xfId="0" applyNumberFormat="1" applyFont="1" applyFill="1" applyBorder="1"/>
    <xf numFmtId="172" fontId="20" fillId="45" borderId="23" xfId="1" applyNumberFormat="1" applyFont="1" applyFill="1" applyBorder="1"/>
    <xf numFmtId="170" fontId="20" fillId="45" borderId="23" xfId="0" applyNumberFormat="1" applyFont="1" applyFill="1" applyBorder="1"/>
    <xf numFmtId="10" fontId="22" fillId="0" borderId="23" xfId="0" applyNumberFormat="1" applyFont="1" applyBorder="1"/>
    <xf numFmtId="0" fontId="20" fillId="34" borderId="23" xfId="0" applyFont="1" applyFill="1" applyBorder="1" applyAlignment="1">
      <alignment horizontal="center"/>
    </xf>
    <xf numFmtId="9" fontId="22" fillId="0" borderId="0" xfId="2" applyFont="1" applyBorder="1"/>
    <xf numFmtId="0" fontId="22" fillId="0" borderId="0" xfId="0" applyFont="1" applyBorder="1"/>
    <xf numFmtId="0" fontId="20" fillId="34" borderId="23" xfId="0" applyFont="1" applyFill="1" applyBorder="1" applyAlignment="1">
      <alignment horizontal="center"/>
    </xf>
    <xf numFmtId="0" fontId="22" fillId="0" borderId="24" xfId="0" applyFont="1" applyBorder="1" applyAlignment="1">
      <alignment horizontal="center"/>
    </xf>
    <xf numFmtId="0" fontId="22" fillId="0" borderId="0" xfId="0" applyFont="1" applyBorder="1" applyAlignment="1">
      <alignment horizontal="center"/>
    </xf>
    <xf numFmtId="0" fontId="22" fillId="0" borderId="23" xfId="0" applyFont="1" applyBorder="1" applyAlignment="1">
      <alignment horizontal="left" vertical="center"/>
    </xf>
    <xf numFmtId="0" fontId="22" fillId="0" borderId="23" xfId="0" applyFont="1" applyBorder="1" applyAlignment="1">
      <alignment horizontal="left"/>
    </xf>
    <xf numFmtId="0" fontId="22" fillId="0" borderId="0" xfId="0" applyFont="1" applyBorder="1" applyAlignment="1">
      <alignment horizontal="center"/>
    </xf>
    <xf numFmtId="0" fontId="25" fillId="35" borderId="23" xfId="0" applyFont="1" applyFill="1" applyBorder="1" applyAlignment="1">
      <alignment horizontal="left" vertical="center"/>
    </xf>
    <xf numFmtId="0" fontId="23" fillId="44" borderId="22" xfId="0" applyFont="1" applyFill="1" applyBorder="1" applyAlignment="1">
      <alignment horizontal="center" vertical="center"/>
    </xf>
    <xf numFmtId="0" fontId="26" fillId="0" borderId="0" xfId="0"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5">
    <dxf>
      <font>
        <color rgb="FF9C0006"/>
      </font>
      <fill>
        <patternFill>
          <bgColor rgb="FFFFC7CE"/>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 formatCode="0"/>
    </dxf>
    <dxf>
      <numFmt numFmtId="19" formatCode="dd/mm/yyyy"/>
    </dxf>
    <dxf>
      <numFmt numFmtId="19" formatCode="dd/mm/yyyy"/>
    </dxf>
    <dxf>
      <font>
        <b/>
      </font>
    </dxf>
    <dxf>
      <font>
        <b/>
      </font>
    </dxf>
    <dxf>
      <font>
        <color theme="1"/>
      </font>
    </dxf>
    <dxf>
      <fill>
        <patternFill patternType="solid">
          <bgColor theme="8" tint="-0.249977111117893"/>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 formatCode="0"/>
    </dxf>
    <dxf>
      <numFmt numFmtId="19" formatCode="dd/mm/yyyy"/>
    </dxf>
    <dxf>
      <font>
        <strike val="0"/>
        <outline val="0"/>
        <shadow val="0"/>
        <u val="none"/>
        <vertAlign val="baseline"/>
        <sz val="11"/>
        <color theme="1"/>
        <name val="Calibri"/>
        <family val="2"/>
        <scheme val="minor"/>
      </font>
      <fill>
        <patternFill patternType="solid">
          <fgColor indexed="64"/>
          <bgColor theme="5" tint="0.39997558519241921"/>
        </patternFill>
      </fill>
    </dxf>
  </dxfs>
  <tableStyles count="0" defaultTableStyle="TableStyleMedium2" defaultPivotStyle="PivotStyleLight16"/>
  <colors>
    <mruColors>
      <color rgb="FFFF5A33"/>
      <color rgb="FF003300"/>
      <color rgb="FFFF2D2D"/>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&amp; Pivot'!$B$11</c:f>
              <c:strCache>
                <c:ptCount val="1"/>
                <c:pt idx="0">
                  <c:v>Sum of Total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Pivot'!$A$12:$A$15</c:f>
              <c:strCache>
                <c:ptCount val="3"/>
                <c:pt idx="0">
                  <c:v>February</c:v>
                </c:pt>
                <c:pt idx="1">
                  <c:v>March</c:v>
                </c:pt>
                <c:pt idx="2">
                  <c:v>April</c:v>
                </c:pt>
              </c:strCache>
            </c:strRef>
          </c:cat>
          <c:val>
            <c:numRef>
              <c:f>'KPI''s &amp; Pivot'!$B$12:$B$15</c:f>
              <c:numCache>
                <c:formatCode>General</c:formatCode>
                <c:ptCount val="3"/>
                <c:pt idx="0">
                  <c:v>122695</c:v>
                </c:pt>
                <c:pt idx="1">
                  <c:v>117730</c:v>
                </c:pt>
                <c:pt idx="2">
                  <c:v>3420</c:v>
                </c:pt>
              </c:numCache>
            </c:numRef>
          </c:val>
          <c:smooth val="0"/>
          <c:extLst>
            <c:ext xmlns:c16="http://schemas.microsoft.com/office/drawing/2014/chart" uri="{C3380CC4-5D6E-409C-BE32-E72D297353CC}">
              <c16:uniqueId val="{00000000-80CA-4767-A553-5AD27F3FA760}"/>
            </c:ext>
          </c:extLst>
        </c:ser>
        <c:ser>
          <c:idx val="1"/>
          <c:order val="1"/>
          <c:tx>
            <c:strRef>
              <c:f>'KPI''s &amp; Pivot'!$C$11</c:f>
              <c:strCache>
                <c:ptCount val="1"/>
                <c:pt idx="0">
                  <c:v>Count of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Pivot'!$A$12:$A$15</c:f>
              <c:strCache>
                <c:ptCount val="3"/>
                <c:pt idx="0">
                  <c:v>February</c:v>
                </c:pt>
                <c:pt idx="1">
                  <c:v>March</c:v>
                </c:pt>
                <c:pt idx="2">
                  <c:v>April</c:v>
                </c:pt>
              </c:strCache>
            </c:strRef>
          </c:cat>
          <c:val>
            <c:numRef>
              <c:f>'KPI''s &amp; Pivot'!$C$12:$C$15</c:f>
              <c:numCache>
                <c:formatCode>General</c:formatCode>
                <c:ptCount val="3"/>
                <c:pt idx="0">
                  <c:v>113</c:v>
                </c:pt>
                <c:pt idx="1">
                  <c:v>131</c:v>
                </c:pt>
                <c:pt idx="2">
                  <c:v>6</c:v>
                </c:pt>
              </c:numCache>
            </c:numRef>
          </c:val>
          <c:smooth val="0"/>
          <c:extLst>
            <c:ext xmlns:c16="http://schemas.microsoft.com/office/drawing/2014/chart" uri="{C3380CC4-5D6E-409C-BE32-E72D297353CC}">
              <c16:uniqueId val="{00000001-80CA-4767-A553-5AD27F3FA760}"/>
            </c:ext>
          </c:extLst>
        </c:ser>
        <c:dLbls>
          <c:dLblPos val="ctr"/>
          <c:showLegendKey val="0"/>
          <c:showVal val="1"/>
          <c:showCatName val="0"/>
          <c:showSerName val="0"/>
          <c:showPercent val="0"/>
          <c:showBubbleSize val="0"/>
        </c:dLbls>
        <c:marker val="1"/>
        <c:smooth val="0"/>
        <c:axId val="460132543"/>
        <c:axId val="460135903"/>
      </c:lineChart>
      <c:catAx>
        <c:axId val="46013254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35903"/>
        <c:crosses val="autoZero"/>
        <c:auto val="1"/>
        <c:lblAlgn val="ctr"/>
        <c:lblOffset val="100"/>
        <c:noMultiLvlLbl val="0"/>
      </c:catAx>
      <c:valAx>
        <c:axId val="460135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3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Pivot'!$B$18</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Pivot'!$A$19:$A$24</c:f>
              <c:strCache>
                <c:ptCount val="5"/>
                <c:pt idx="0">
                  <c:v>Electronics</c:v>
                </c:pt>
                <c:pt idx="1">
                  <c:v>Home Appliances</c:v>
                </c:pt>
                <c:pt idx="2">
                  <c:v>Footwear</c:v>
                </c:pt>
                <c:pt idx="3">
                  <c:v>Clothing</c:v>
                </c:pt>
                <c:pt idx="4">
                  <c:v>Books</c:v>
                </c:pt>
              </c:strCache>
            </c:strRef>
          </c:cat>
          <c:val>
            <c:numRef>
              <c:f>'KPI''s &amp; Pivot'!$B$19:$B$24</c:f>
              <c:numCache>
                <c:formatCode>General</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A985-4058-8DB4-10E4D9491EC1}"/>
            </c:ext>
          </c:extLst>
        </c:ser>
        <c:ser>
          <c:idx val="1"/>
          <c:order val="1"/>
          <c:tx>
            <c:strRef>
              <c:f>'KPI''s &amp; Pivot'!$C$18</c:f>
              <c:strCache>
                <c:ptCount val="1"/>
                <c:pt idx="0">
                  <c:v>Average of Price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Pivot'!$A$19:$A$24</c:f>
              <c:strCache>
                <c:ptCount val="5"/>
                <c:pt idx="0">
                  <c:v>Electronics</c:v>
                </c:pt>
                <c:pt idx="1">
                  <c:v>Home Appliances</c:v>
                </c:pt>
                <c:pt idx="2">
                  <c:v>Footwear</c:v>
                </c:pt>
                <c:pt idx="3">
                  <c:v>Clothing</c:v>
                </c:pt>
                <c:pt idx="4">
                  <c:v>Books</c:v>
                </c:pt>
              </c:strCache>
            </c:strRef>
          </c:cat>
          <c:val>
            <c:numRef>
              <c:f>'KPI''s &amp; Pivot'!$C$19:$C$24</c:f>
              <c:numCache>
                <c:formatCode>0.00</c:formatCode>
                <c:ptCount val="5"/>
                <c:pt idx="0">
                  <c:v>375.42372881355931</c:v>
                </c:pt>
                <c:pt idx="1">
                  <c:v>960</c:v>
                </c:pt>
                <c:pt idx="2">
                  <c:v>60</c:v>
                </c:pt>
                <c:pt idx="3">
                  <c:v>30</c:v>
                </c:pt>
                <c:pt idx="4">
                  <c:v>15</c:v>
                </c:pt>
              </c:numCache>
            </c:numRef>
          </c:val>
          <c:extLst>
            <c:ext xmlns:c16="http://schemas.microsoft.com/office/drawing/2014/chart" uri="{C3380CC4-5D6E-409C-BE32-E72D297353CC}">
              <c16:uniqueId val="{00000001-A985-4058-8DB4-10E4D9491EC1}"/>
            </c:ext>
          </c:extLst>
        </c:ser>
        <c:dLbls>
          <c:dLblPos val="outEnd"/>
          <c:showLegendKey val="0"/>
          <c:showVal val="1"/>
          <c:showCatName val="0"/>
          <c:showSerName val="0"/>
          <c:showPercent val="0"/>
          <c:showBubbleSize val="0"/>
        </c:dLbls>
        <c:gapWidth val="150"/>
        <c:axId val="460175263"/>
        <c:axId val="460172383"/>
      </c:barChart>
      <c:catAx>
        <c:axId val="460175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72383"/>
        <c:crosses val="autoZero"/>
        <c:auto val="1"/>
        <c:lblAlgn val="ctr"/>
        <c:lblOffset val="100"/>
        <c:noMultiLvlLbl val="0"/>
      </c:catAx>
      <c:valAx>
        <c:axId val="460172383"/>
        <c:scaling>
          <c:orientation val="minMax"/>
        </c:scaling>
        <c:delete val="1"/>
        <c:axPos val="b"/>
        <c:numFmt formatCode="General" sourceLinked="1"/>
        <c:majorTickMark val="none"/>
        <c:minorTickMark val="none"/>
        <c:tickLblPos val="nextTo"/>
        <c:crossAx val="4601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 &amp; Pivot'!$B$27</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Pivot'!$A$28:$A$31</c:f>
              <c:strCache>
                <c:ptCount val="3"/>
                <c:pt idx="0">
                  <c:v>Cancelled</c:v>
                </c:pt>
                <c:pt idx="1">
                  <c:v>Completed</c:v>
                </c:pt>
                <c:pt idx="2">
                  <c:v>Pending</c:v>
                </c:pt>
              </c:strCache>
            </c:strRef>
          </c:cat>
          <c:val>
            <c:numRef>
              <c:f>'KPI''s &amp; Pivot'!$B$28:$B$31</c:f>
              <c:numCache>
                <c:formatCode>0.00%</c:formatCode>
                <c:ptCount val="3"/>
                <c:pt idx="0">
                  <c:v>0.26668580450696139</c:v>
                </c:pt>
                <c:pt idx="1">
                  <c:v>0.36305850027681519</c:v>
                </c:pt>
                <c:pt idx="2">
                  <c:v>0.37025569521622342</c:v>
                </c:pt>
              </c:numCache>
            </c:numRef>
          </c:val>
          <c:extLst>
            <c:ext xmlns:c16="http://schemas.microsoft.com/office/drawing/2014/chart" uri="{C3380CC4-5D6E-409C-BE32-E72D297353CC}">
              <c16:uniqueId val="{00000000-40EC-4370-BAA2-DE5AFC5739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Pivot!PivotTable5</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Customer Location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Pivot'!$B$34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Pivot'!$A$35:$A$45</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'KPI''s &amp; Pivot'!$B$35:$B$45</c:f>
              <c:numCache>
                <c:formatCode>General</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3624-422C-8A61-1690DA04250B}"/>
            </c:ext>
          </c:extLst>
        </c:ser>
        <c:dLbls>
          <c:dLblPos val="outEnd"/>
          <c:showLegendKey val="0"/>
          <c:showVal val="1"/>
          <c:showCatName val="0"/>
          <c:showSerName val="0"/>
          <c:showPercent val="0"/>
          <c:showBubbleSize val="0"/>
        </c:dLbls>
        <c:gapWidth val="115"/>
        <c:overlap val="-20"/>
        <c:axId val="324311295"/>
        <c:axId val="324310815"/>
      </c:barChart>
      <c:catAx>
        <c:axId val="3243112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10815"/>
        <c:crosses val="autoZero"/>
        <c:auto val="1"/>
        <c:lblAlgn val="ctr"/>
        <c:lblOffset val="100"/>
        <c:noMultiLvlLbl val="0"/>
      </c:catAx>
      <c:valAx>
        <c:axId val="324310815"/>
        <c:scaling>
          <c:orientation val="minMax"/>
        </c:scaling>
        <c:delete val="1"/>
        <c:axPos val="b"/>
        <c:numFmt formatCode="General" sourceLinked="1"/>
        <c:majorTickMark val="none"/>
        <c:minorTickMark val="none"/>
        <c:tickLblPos val="nextTo"/>
        <c:crossAx val="32431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 &amp; Pivot'!$B$48</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Pivot'!$A$49:$A$54</c:f>
              <c:strCache>
                <c:ptCount val="5"/>
                <c:pt idx="0">
                  <c:v>Amazon Pay</c:v>
                </c:pt>
                <c:pt idx="1">
                  <c:v>Credit Card</c:v>
                </c:pt>
                <c:pt idx="2">
                  <c:v>Debit Card</c:v>
                </c:pt>
                <c:pt idx="3">
                  <c:v>Gift Card</c:v>
                </c:pt>
                <c:pt idx="4">
                  <c:v>PayPal</c:v>
                </c:pt>
              </c:strCache>
            </c:strRef>
          </c:cat>
          <c:val>
            <c:numRef>
              <c:f>'KPI''s &amp; Pivot'!$B$49:$B$54</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6AF2-42D8-B22E-83760B2C95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Pivot!PivotTable7</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Customers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Pivot'!$A$58:$A$68</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'KPI''s &amp; Pivot'!$B$58:$B$68</c:f>
              <c:numCache>
                <c:formatCode>General</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2BF3-4B40-87CA-D2F42F70F8C0}"/>
            </c:ext>
          </c:extLst>
        </c:ser>
        <c:dLbls>
          <c:dLblPos val="outEnd"/>
          <c:showLegendKey val="0"/>
          <c:showVal val="1"/>
          <c:showCatName val="0"/>
          <c:showSerName val="0"/>
          <c:showPercent val="0"/>
          <c:showBubbleSize val="0"/>
        </c:dLbls>
        <c:gapWidth val="115"/>
        <c:overlap val="-20"/>
        <c:axId val="1115489183"/>
        <c:axId val="1115490623"/>
      </c:barChart>
      <c:catAx>
        <c:axId val="1115489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90623"/>
        <c:crosses val="autoZero"/>
        <c:auto val="1"/>
        <c:lblAlgn val="ctr"/>
        <c:lblOffset val="100"/>
        <c:noMultiLvlLbl val="0"/>
      </c:catAx>
      <c:valAx>
        <c:axId val="1115490623"/>
        <c:scaling>
          <c:orientation val="minMax"/>
        </c:scaling>
        <c:delete val="1"/>
        <c:axPos val="b"/>
        <c:numFmt formatCode="General" sourceLinked="1"/>
        <c:majorTickMark val="none"/>
        <c:minorTickMark val="none"/>
        <c:tickLblPos val="nextTo"/>
        <c:crossAx val="111548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Pivot!PivotTable9</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Quarterly Revenue Summary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78196803622889E-2"/>
          <c:y val="0.18300912928150076"/>
          <c:w val="0.89871062992125983"/>
          <c:h val="0.76606481481481481"/>
        </c:manualLayout>
      </c:layout>
      <c:barChart>
        <c:barDir val="bar"/>
        <c:grouping val="clustered"/>
        <c:varyColors val="0"/>
        <c:ser>
          <c:idx val="0"/>
          <c:order val="0"/>
          <c:tx>
            <c:strRef>
              <c:f>'KPI''s &amp; Pivot'!$B$81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Pivot'!$A$82:$A$84</c:f>
              <c:strCache>
                <c:ptCount val="2"/>
                <c:pt idx="0">
                  <c:v>Q1</c:v>
                </c:pt>
                <c:pt idx="1">
                  <c:v>Q2</c:v>
                </c:pt>
              </c:strCache>
            </c:strRef>
          </c:cat>
          <c:val>
            <c:numRef>
              <c:f>'KPI''s &amp; Pivot'!$B$82:$B$84</c:f>
              <c:numCache>
                <c:formatCode>General</c:formatCode>
                <c:ptCount val="2"/>
                <c:pt idx="0">
                  <c:v>240425</c:v>
                </c:pt>
                <c:pt idx="1">
                  <c:v>3420</c:v>
                </c:pt>
              </c:numCache>
            </c:numRef>
          </c:val>
          <c:extLst>
            <c:ext xmlns:c16="http://schemas.microsoft.com/office/drawing/2014/chart" uri="{C3380CC4-5D6E-409C-BE32-E72D297353CC}">
              <c16:uniqueId val="{00000000-432B-4564-9CC8-996142E3B4EF}"/>
            </c:ext>
          </c:extLst>
        </c:ser>
        <c:dLbls>
          <c:dLblPos val="outEnd"/>
          <c:showLegendKey val="0"/>
          <c:showVal val="1"/>
          <c:showCatName val="0"/>
          <c:showSerName val="0"/>
          <c:showPercent val="0"/>
          <c:showBubbleSize val="0"/>
        </c:dLbls>
        <c:gapWidth val="115"/>
        <c:overlap val="-20"/>
        <c:axId val="1119218527"/>
        <c:axId val="1119219967"/>
      </c:barChart>
      <c:catAx>
        <c:axId val="11192185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19967"/>
        <c:crosses val="autoZero"/>
        <c:auto val="1"/>
        <c:lblAlgn val="ctr"/>
        <c:lblOffset val="100"/>
        <c:noMultiLvlLbl val="0"/>
      </c:catAx>
      <c:valAx>
        <c:axId val="1119219967"/>
        <c:scaling>
          <c:orientation val="minMax"/>
        </c:scaling>
        <c:delete val="1"/>
        <c:axPos val="b"/>
        <c:numFmt formatCode="General" sourceLinked="1"/>
        <c:majorTickMark val="none"/>
        <c:minorTickMark val="none"/>
        <c:tickLblPos val="nextTo"/>
        <c:crossAx val="111921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Pivot!PivotTable2</c:name>
    <c:fmtId val="14"/>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Monthly Revenue Trend</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&amp; Pivot'!$B$11</c:f>
              <c:strCache>
                <c:ptCount val="1"/>
                <c:pt idx="0">
                  <c:v>Sum of Total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Pivot'!$A$12:$A$15</c:f>
              <c:strCache>
                <c:ptCount val="3"/>
                <c:pt idx="0">
                  <c:v>February</c:v>
                </c:pt>
                <c:pt idx="1">
                  <c:v>March</c:v>
                </c:pt>
                <c:pt idx="2">
                  <c:v>April</c:v>
                </c:pt>
              </c:strCache>
            </c:strRef>
          </c:cat>
          <c:val>
            <c:numRef>
              <c:f>'KPI''s &amp; Pivot'!$B$12:$B$15</c:f>
              <c:numCache>
                <c:formatCode>General</c:formatCode>
                <c:ptCount val="3"/>
                <c:pt idx="0">
                  <c:v>122695</c:v>
                </c:pt>
                <c:pt idx="1">
                  <c:v>117730</c:v>
                </c:pt>
                <c:pt idx="2">
                  <c:v>3420</c:v>
                </c:pt>
              </c:numCache>
            </c:numRef>
          </c:val>
          <c:smooth val="0"/>
          <c:extLst>
            <c:ext xmlns:c16="http://schemas.microsoft.com/office/drawing/2014/chart" uri="{C3380CC4-5D6E-409C-BE32-E72D297353CC}">
              <c16:uniqueId val="{00000000-456F-433A-8ED3-8033B5231EFC}"/>
            </c:ext>
          </c:extLst>
        </c:ser>
        <c:ser>
          <c:idx val="1"/>
          <c:order val="1"/>
          <c:tx>
            <c:strRef>
              <c:f>'KPI''s &amp; Pivot'!$C$11</c:f>
              <c:strCache>
                <c:ptCount val="1"/>
                <c:pt idx="0">
                  <c:v>Count of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Pivot'!$A$12:$A$15</c:f>
              <c:strCache>
                <c:ptCount val="3"/>
                <c:pt idx="0">
                  <c:v>February</c:v>
                </c:pt>
                <c:pt idx="1">
                  <c:v>March</c:v>
                </c:pt>
                <c:pt idx="2">
                  <c:v>April</c:v>
                </c:pt>
              </c:strCache>
            </c:strRef>
          </c:cat>
          <c:val>
            <c:numRef>
              <c:f>'KPI''s &amp; Pivot'!$C$12:$C$15</c:f>
              <c:numCache>
                <c:formatCode>General</c:formatCode>
                <c:ptCount val="3"/>
                <c:pt idx="0">
                  <c:v>113</c:v>
                </c:pt>
                <c:pt idx="1">
                  <c:v>131</c:v>
                </c:pt>
                <c:pt idx="2">
                  <c:v>6</c:v>
                </c:pt>
              </c:numCache>
            </c:numRef>
          </c:val>
          <c:smooth val="0"/>
          <c:extLst>
            <c:ext xmlns:c16="http://schemas.microsoft.com/office/drawing/2014/chart" uri="{C3380CC4-5D6E-409C-BE32-E72D297353CC}">
              <c16:uniqueId val="{00000001-456F-433A-8ED3-8033B5231EFC}"/>
            </c:ext>
          </c:extLst>
        </c:ser>
        <c:dLbls>
          <c:dLblPos val="ctr"/>
          <c:showLegendKey val="0"/>
          <c:showVal val="1"/>
          <c:showCatName val="0"/>
          <c:showSerName val="0"/>
          <c:showPercent val="0"/>
          <c:showBubbleSize val="0"/>
        </c:dLbls>
        <c:marker val="1"/>
        <c:smooth val="0"/>
        <c:axId val="460132543"/>
        <c:axId val="460135903"/>
      </c:lineChart>
      <c:catAx>
        <c:axId val="460132543"/>
        <c:scaling>
          <c:orientation val="minMax"/>
        </c:scaling>
        <c:delete val="0"/>
        <c:axPos val="b"/>
        <c:numFmt formatCode="General" sourceLinked="1"/>
        <c:majorTickMark val="out"/>
        <c:minorTickMark val="none"/>
        <c:tickLblPos val="nextTo"/>
        <c:spPr>
          <a:noFill/>
          <a:ln w="9525" cap="flat" cmpd="sng" algn="ctr">
            <a:solidFill>
              <a:schemeClr val="accent3"/>
            </a:solidFill>
            <a:prstDash val="dash"/>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0135903"/>
        <c:crosses val="autoZero"/>
        <c:auto val="1"/>
        <c:lblAlgn val="ctr"/>
        <c:lblOffset val="100"/>
        <c:noMultiLvlLbl val="0"/>
      </c:catAx>
      <c:valAx>
        <c:axId val="460135903"/>
        <c:scaling>
          <c:orientation val="minMax"/>
        </c:scaling>
        <c:delete val="1"/>
        <c:axPos val="l"/>
        <c:numFmt formatCode="General" sourceLinked="1"/>
        <c:majorTickMark val="out"/>
        <c:minorTickMark val="none"/>
        <c:tickLblPos val="nextTo"/>
        <c:crossAx val="46013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Pivot!PivotTable4</c:name>
    <c:fmtId val="25"/>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Order Status Breakdown</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doughnutChart>
        <c:varyColors val="1"/>
        <c:ser>
          <c:idx val="0"/>
          <c:order val="0"/>
          <c:tx>
            <c:strRef>
              <c:f>'KPI''s &amp; Pivot'!$B$27</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748-4A28-9B5A-2021FC7227A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748-4A28-9B5A-2021FC7227A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748-4A28-9B5A-2021FC7227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Pivot'!$A$28:$A$31</c:f>
              <c:strCache>
                <c:ptCount val="3"/>
                <c:pt idx="0">
                  <c:v>Cancelled</c:v>
                </c:pt>
                <c:pt idx="1">
                  <c:v>Completed</c:v>
                </c:pt>
                <c:pt idx="2">
                  <c:v>Pending</c:v>
                </c:pt>
              </c:strCache>
            </c:strRef>
          </c:cat>
          <c:val>
            <c:numRef>
              <c:f>'KPI''s &amp; Pivot'!$B$28:$B$31</c:f>
              <c:numCache>
                <c:formatCode>0.00%</c:formatCode>
                <c:ptCount val="3"/>
                <c:pt idx="0">
                  <c:v>0.26668580450696139</c:v>
                </c:pt>
                <c:pt idx="1">
                  <c:v>0.36305850027681519</c:v>
                </c:pt>
                <c:pt idx="2">
                  <c:v>0.37025569521622342</c:v>
                </c:pt>
              </c:numCache>
            </c:numRef>
          </c:val>
          <c:extLst>
            <c:ext xmlns:c16="http://schemas.microsoft.com/office/drawing/2014/chart" uri="{C3380CC4-5D6E-409C-BE32-E72D297353CC}">
              <c16:uniqueId val="{00000006-4748-4A28-9B5A-2021FC7227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Pivot!PivotTable3</c:name>
    <c:fmtId val="19"/>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Revenue by Category</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04080848042742"/>
          <c:y val="0.16083877995642701"/>
          <c:w val="0.7921375905026784"/>
          <c:h val="0.72546231966102281"/>
        </c:manualLayout>
      </c:layout>
      <c:barChart>
        <c:barDir val="bar"/>
        <c:grouping val="clustered"/>
        <c:varyColors val="0"/>
        <c:ser>
          <c:idx val="0"/>
          <c:order val="0"/>
          <c:tx>
            <c:strRef>
              <c:f>'KPI''s &amp; Pivot'!$B$18</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Pivot'!$A$19:$A$24</c:f>
              <c:strCache>
                <c:ptCount val="5"/>
                <c:pt idx="0">
                  <c:v>Electronics</c:v>
                </c:pt>
                <c:pt idx="1">
                  <c:v>Home Appliances</c:v>
                </c:pt>
                <c:pt idx="2">
                  <c:v>Footwear</c:v>
                </c:pt>
                <c:pt idx="3">
                  <c:v>Clothing</c:v>
                </c:pt>
                <c:pt idx="4">
                  <c:v>Books</c:v>
                </c:pt>
              </c:strCache>
            </c:strRef>
          </c:cat>
          <c:val>
            <c:numRef>
              <c:f>'KPI''s &amp; Pivot'!$B$19:$B$24</c:f>
              <c:numCache>
                <c:formatCode>General</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91E6-4E09-BF5C-9247A5D739DA}"/>
            </c:ext>
          </c:extLst>
        </c:ser>
        <c:ser>
          <c:idx val="1"/>
          <c:order val="1"/>
          <c:tx>
            <c:strRef>
              <c:f>'KPI''s &amp; Pivot'!$C$18</c:f>
              <c:strCache>
                <c:ptCount val="1"/>
                <c:pt idx="0">
                  <c:v>Average of Price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Pivot'!$A$19:$A$24</c:f>
              <c:strCache>
                <c:ptCount val="5"/>
                <c:pt idx="0">
                  <c:v>Electronics</c:v>
                </c:pt>
                <c:pt idx="1">
                  <c:v>Home Appliances</c:v>
                </c:pt>
                <c:pt idx="2">
                  <c:v>Footwear</c:v>
                </c:pt>
                <c:pt idx="3">
                  <c:v>Clothing</c:v>
                </c:pt>
                <c:pt idx="4">
                  <c:v>Books</c:v>
                </c:pt>
              </c:strCache>
            </c:strRef>
          </c:cat>
          <c:val>
            <c:numRef>
              <c:f>'KPI''s &amp; Pivot'!$C$19:$C$24</c:f>
              <c:numCache>
                <c:formatCode>0.00</c:formatCode>
                <c:ptCount val="5"/>
                <c:pt idx="0">
                  <c:v>375.42372881355931</c:v>
                </c:pt>
                <c:pt idx="1">
                  <c:v>960</c:v>
                </c:pt>
                <c:pt idx="2">
                  <c:v>60</c:v>
                </c:pt>
                <c:pt idx="3">
                  <c:v>30</c:v>
                </c:pt>
                <c:pt idx="4">
                  <c:v>15</c:v>
                </c:pt>
              </c:numCache>
            </c:numRef>
          </c:val>
          <c:extLst>
            <c:ext xmlns:c16="http://schemas.microsoft.com/office/drawing/2014/chart" uri="{C3380CC4-5D6E-409C-BE32-E72D297353CC}">
              <c16:uniqueId val="{00000001-91E6-4E09-BF5C-9247A5D739DA}"/>
            </c:ext>
          </c:extLst>
        </c:ser>
        <c:dLbls>
          <c:dLblPos val="outEnd"/>
          <c:showLegendKey val="0"/>
          <c:showVal val="1"/>
          <c:showCatName val="0"/>
          <c:showSerName val="0"/>
          <c:showPercent val="0"/>
          <c:showBubbleSize val="0"/>
        </c:dLbls>
        <c:gapWidth val="150"/>
        <c:axId val="460175263"/>
        <c:axId val="460172383"/>
      </c:barChart>
      <c:catAx>
        <c:axId val="460175263"/>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0172383"/>
        <c:crosses val="autoZero"/>
        <c:auto val="1"/>
        <c:lblAlgn val="ctr"/>
        <c:lblOffset val="100"/>
        <c:noMultiLvlLbl val="0"/>
      </c:catAx>
      <c:valAx>
        <c:axId val="460172383"/>
        <c:scaling>
          <c:orientation val="minMax"/>
        </c:scaling>
        <c:delete val="1"/>
        <c:axPos val="b"/>
        <c:numFmt formatCode="General" sourceLinked="1"/>
        <c:majorTickMark val="none"/>
        <c:minorTickMark val="none"/>
        <c:tickLblPos val="nextTo"/>
        <c:crossAx val="460175263"/>
        <c:crosses val="autoZero"/>
        <c:crossBetween val="between"/>
      </c:valAx>
      <c:spPr>
        <a:noFill/>
        <a:ln>
          <a:noFill/>
        </a:ln>
        <a:effectLst/>
      </c:spPr>
    </c:plotArea>
    <c:legend>
      <c:legendPos val="b"/>
      <c:layout>
        <c:manualLayout>
          <c:xMode val="edge"/>
          <c:yMode val="edge"/>
          <c:x val="0.29426218887697109"/>
          <c:y val="0.89174772271113167"/>
          <c:w val="0.41147562224605788"/>
          <c:h val="9.1912408007822549E-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Pivot!PivotTable7</c:name>
    <c:fmtId val="37"/>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Top 10 Customers by Revenue</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Pivot'!$A$58:$A$68</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'KPI''s &amp; Pivot'!$B$58:$B$68</c:f>
              <c:numCache>
                <c:formatCode>General</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0944-4067-863A-41723BEF0A0B}"/>
            </c:ext>
          </c:extLst>
        </c:ser>
        <c:dLbls>
          <c:dLblPos val="outEnd"/>
          <c:showLegendKey val="0"/>
          <c:showVal val="1"/>
          <c:showCatName val="0"/>
          <c:showSerName val="0"/>
          <c:showPercent val="0"/>
          <c:showBubbleSize val="0"/>
        </c:dLbls>
        <c:gapWidth val="115"/>
        <c:overlap val="-20"/>
        <c:axId val="1115489183"/>
        <c:axId val="1115490623"/>
      </c:barChart>
      <c:catAx>
        <c:axId val="1115489183"/>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5490623"/>
        <c:crosses val="autoZero"/>
        <c:auto val="1"/>
        <c:lblAlgn val="ctr"/>
        <c:lblOffset val="100"/>
        <c:noMultiLvlLbl val="0"/>
      </c:catAx>
      <c:valAx>
        <c:axId val="1115490623"/>
        <c:scaling>
          <c:orientation val="minMax"/>
        </c:scaling>
        <c:delete val="1"/>
        <c:axPos val="b"/>
        <c:numFmt formatCode="General" sourceLinked="1"/>
        <c:majorTickMark val="none"/>
        <c:minorTickMark val="none"/>
        <c:tickLblPos val="nextTo"/>
        <c:crossAx val="111548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Pivot!PivotTable6</c:name>
    <c:fmtId val="31"/>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400" b="1" i="0" u="none" strike="noStrike" cap="none" spc="0" baseline="0">
                <a:ln w="0"/>
                <a:solidFill>
                  <a:schemeClr val="tx1"/>
                </a:solidFill>
                <a:effectLst>
                  <a:outerShdw blurRad="38100" dist="19050" dir="2700000" algn="tl" rotWithShape="0">
                    <a:schemeClr val="dk1">
                      <a:alpha val="40000"/>
                    </a:schemeClr>
                  </a:outerShdw>
                </a:effectLst>
              </a:rPr>
              <a:t>Payment Method Analysis</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doughnutChart>
        <c:varyColors val="1"/>
        <c:ser>
          <c:idx val="0"/>
          <c:order val="0"/>
          <c:tx>
            <c:strRef>
              <c:f>'KPI''s &amp; Pivot'!$B$48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EF7-4B35-9EB4-8BD9338CA6E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EF7-4B35-9EB4-8BD9338CA6E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EF7-4B35-9EB4-8BD9338CA6E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EF7-4B35-9EB4-8BD9338CA6E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EF7-4B35-9EB4-8BD9338CA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Pivot'!$A$49:$A$54</c:f>
              <c:strCache>
                <c:ptCount val="5"/>
                <c:pt idx="0">
                  <c:v>Amazon Pay</c:v>
                </c:pt>
                <c:pt idx="1">
                  <c:v>Credit Card</c:v>
                </c:pt>
                <c:pt idx="2">
                  <c:v>Debit Card</c:v>
                </c:pt>
                <c:pt idx="3">
                  <c:v>Gift Card</c:v>
                </c:pt>
                <c:pt idx="4">
                  <c:v>PayPal</c:v>
                </c:pt>
              </c:strCache>
            </c:strRef>
          </c:cat>
          <c:val>
            <c:numRef>
              <c:f>'KPI''s &amp; Pivot'!$B$49:$B$54</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AEF7-4B35-9EB4-8BD9338CA6E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Pivot!PivotTable5</c:name>
    <c:fmtId val="28"/>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Revenue by Customer Location (City)</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Pivot'!$B$34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Pivot'!$A$35:$A$45</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'KPI''s &amp; Pivot'!$B$35:$B$45</c:f>
              <c:numCache>
                <c:formatCode>General</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3648-4D8F-BA38-590E5B1C24AF}"/>
            </c:ext>
          </c:extLst>
        </c:ser>
        <c:dLbls>
          <c:dLblPos val="outEnd"/>
          <c:showLegendKey val="0"/>
          <c:showVal val="1"/>
          <c:showCatName val="0"/>
          <c:showSerName val="0"/>
          <c:showPercent val="0"/>
          <c:showBubbleSize val="0"/>
        </c:dLbls>
        <c:gapWidth val="115"/>
        <c:overlap val="-20"/>
        <c:axId val="324311295"/>
        <c:axId val="324310815"/>
      </c:barChart>
      <c:catAx>
        <c:axId val="324311295"/>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24310815"/>
        <c:crosses val="autoZero"/>
        <c:auto val="1"/>
        <c:lblAlgn val="ctr"/>
        <c:lblOffset val="100"/>
        <c:noMultiLvlLbl val="0"/>
      </c:catAx>
      <c:valAx>
        <c:axId val="324310815"/>
        <c:scaling>
          <c:orientation val="minMax"/>
        </c:scaling>
        <c:delete val="1"/>
        <c:axPos val="b"/>
        <c:numFmt formatCode="General" sourceLinked="1"/>
        <c:majorTickMark val="none"/>
        <c:minorTickMark val="none"/>
        <c:tickLblPos val="nextTo"/>
        <c:crossAx val="32431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2025_Revenue_Report.xlsx]KPI's &amp; Pivot!PivotTable9</c:name>
    <c:fmtId val="41"/>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Quarterly Revenue Summary</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78196803622889E-2"/>
          <c:y val="0.18300912928150076"/>
          <c:w val="0.89871062992125983"/>
          <c:h val="0.76606481481481481"/>
        </c:manualLayout>
      </c:layout>
      <c:barChart>
        <c:barDir val="bar"/>
        <c:grouping val="clustered"/>
        <c:varyColors val="0"/>
        <c:ser>
          <c:idx val="0"/>
          <c:order val="0"/>
          <c:tx>
            <c:strRef>
              <c:f>'KPI''s &amp; Pivot'!$B$81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Pivot'!$A$82:$A$84</c:f>
              <c:strCache>
                <c:ptCount val="2"/>
                <c:pt idx="0">
                  <c:v>Q1</c:v>
                </c:pt>
                <c:pt idx="1">
                  <c:v>Q2</c:v>
                </c:pt>
              </c:strCache>
            </c:strRef>
          </c:cat>
          <c:val>
            <c:numRef>
              <c:f>'KPI''s &amp; Pivot'!$B$82:$B$84</c:f>
              <c:numCache>
                <c:formatCode>General</c:formatCode>
                <c:ptCount val="2"/>
                <c:pt idx="0">
                  <c:v>240425</c:v>
                </c:pt>
                <c:pt idx="1">
                  <c:v>3420</c:v>
                </c:pt>
              </c:numCache>
            </c:numRef>
          </c:val>
          <c:extLst>
            <c:ext xmlns:c16="http://schemas.microsoft.com/office/drawing/2014/chart" uri="{C3380CC4-5D6E-409C-BE32-E72D297353CC}">
              <c16:uniqueId val="{00000000-8A55-44B4-AC71-621A10AB1902}"/>
            </c:ext>
          </c:extLst>
        </c:ser>
        <c:dLbls>
          <c:dLblPos val="outEnd"/>
          <c:showLegendKey val="0"/>
          <c:showVal val="1"/>
          <c:showCatName val="0"/>
          <c:showSerName val="0"/>
          <c:showPercent val="0"/>
          <c:showBubbleSize val="0"/>
        </c:dLbls>
        <c:gapWidth val="115"/>
        <c:overlap val="-20"/>
        <c:axId val="1119218527"/>
        <c:axId val="1119219967"/>
      </c:barChart>
      <c:catAx>
        <c:axId val="1119218527"/>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19219967"/>
        <c:crosses val="autoZero"/>
        <c:auto val="1"/>
        <c:lblAlgn val="ctr"/>
        <c:lblOffset val="100"/>
        <c:noMultiLvlLbl val="0"/>
      </c:catAx>
      <c:valAx>
        <c:axId val="1119219967"/>
        <c:scaling>
          <c:orientation val="minMax"/>
        </c:scaling>
        <c:delete val="1"/>
        <c:axPos val="b"/>
        <c:numFmt formatCode="General" sourceLinked="1"/>
        <c:majorTickMark val="none"/>
        <c:minorTickMark val="none"/>
        <c:tickLblPos val="nextTo"/>
        <c:crossAx val="111921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12.xml"/><Relationship Id="rId2" Type="http://schemas.openxmlformats.org/officeDocument/2006/relationships/image" Target="../media/image2.emf"/><Relationship Id="rId16" Type="http://schemas.openxmlformats.org/officeDocument/2006/relationships/chart" Target="../charts/chart14.xml"/><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11.xml"/><Relationship Id="rId5" Type="http://schemas.openxmlformats.org/officeDocument/2006/relationships/image" Target="../media/image5.emf"/><Relationship Id="rId15" Type="http://schemas.openxmlformats.org/officeDocument/2006/relationships/image" Target="../media/image9.emf"/><Relationship Id="rId10" Type="http://schemas.openxmlformats.org/officeDocument/2006/relationships/chart" Target="../charts/chart10.xml"/><Relationship Id="rId4" Type="http://schemas.openxmlformats.org/officeDocument/2006/relationships/image" Target="../media/image4.emf"/><Relationship Id="rId9" Type="http://schemas.openxmlformats.org/officeDocument/2006/relationships/chart" Target="../charts/chart9.xml"/><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3</xdr:col>
      <xdr:colOff>99060</xdr:colOff>
      <xdr:row>2</xdr:row>
      <xdr:rowOff>57150</xdr:rowOff>
    </xdr:from>
    <xdr:to>
      <xdr:col>6</xdr:col>
      <xdr:colOff>1607820</xdr:colOff>
      <xdr:row>14</xdr:row>
      <xdr:rowOff>167640</xdr:rowOff>
    </xdr:to>
    <xdr:graphicFrame macro="">
      <xdr:nvGraphicFramePr>
        <xdr:cNvPr id="2" name="Chart 1">
          <a:extLst>
            <a:ext uri="{FF2B5EF4-FFF2-40B4-BE49-F238E27FC236}">
              <a16:creationId xmlns:a16="http://schemas.microsoft.com/office/drawing/2014/main" id="{1EDEC99B-D8FC-0EF8-2249-953007C27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159833</xdr:colOff>
      <xdr:row>15</xdr:row>
      <xdr:rowOff>57616</xdr:rowOff>
    </xdr:from>
    <xdr:to>
      <xdr:col>7</xdr:col>
      <xdr:colOff>260194</xdr:colOff>
      <xdr:row>24</xdr:row>
      <xdr:rowOff>9292</xdr:rowOff>
    </xdr:to>
    <xdr:graphicFrame macro="">
      <xdr:nvGraphicFramePr>
        <xdr:cNvPr id="3" name="Chart 2">
          <a:extLst>
            <a:ext uri="{FF2B5EF4-FFF2-40B4-BE49-F238E27FC236}">
              <a16:creationId xmlns:a16="http://schemas.microsoft.com/office/drawing/2014/main" id="{D7729545-CB80-A23D-DC66-FC7FB04B1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24</xdr:row>
      <xdr:rowOff>72390</xdr:rowOff>
    </xdr:from>
    <xdr:to>
      <xdr:col>6</xdr:col>
      <xdr:colOff>1347439</xdr:colOff>
      <xdr:row>31</xdr:row>
      <xdr:rowOff>157976</xdr:rowOff>
    </xdr:to>
    <xdr:graphicFrame macro="">
      <xdr:nvGraphicFramePr>
        <xdr:cNvPr id="4" name="Chart 3">
          <a:extLst>
            <a:ext uri="{FF2B5EF4-FFF2-40B4-BE49-F238E27FC236}">
              <a16:creationId xmlns:a16="http://schemas.microsoft.com/office/drawing/2014/main" id="{B50724C3-2BAD-3995-F4A5-F38BAD79F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436756</xdr:colOff>
      <xdr:row>32</xdr:row>
      <xdr:rowOff>45535</xdr:rowOff>
    </xdr:from>
    <xdr:to>
      <xdr:col>7</xdr:col>
      <xdr:colOff>0</xdr:colOff>
      <xdr:row>44</xdr:row>
      <xdr:rowOff>148683</xdr:rowOff>
    </xdr:to>
    <xdr:graphicFrame macro="">
      <xdr:nvGraphicFramePr>
        <xdr:cNvPr id="5" name="Chart 4">
          <a:extLst>
            <a:ext uri="{FF2B5EF4-FFF2-40B4-BE49-F238E27FC236}">
              <a16:creationId xmlns:a16="http://schemas.microsoft.com/office/drawing/2014/main" id="{3E768423-DCE0-6D19-BF74-7F9478F10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408879</xdr:colOff>
      <xdr:row>45</xdr:row>
      <xdr:rowOff>26948</xdr:rowOff>
    </xdr:from>
    <xdr:to>
      <xdr:col>6</xdr:col>
      <xdr:colOff>1681976</xdr:colOff>
      <xdr:row>53</xdr:row>
      <xdr:rowOff>167268</xdr:rowOff>
    </xdr:to>
    <xdr:graphicFrame macro="">
      <xdr:nvGraphicFramePr>
        <xdr:cNvPr id="6" name="Chart 5">
          <a:extLst>
            <a:ext uri="{FF2B5EF4-FFF2-40B4-BE49-F238E27FC236}">
              <a16:creationId xmlns:a16="http://schemas.microsoft.com/office/drawing/2014/main" id="{C09A8A1A-C17E-5018-D152-D139872E9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371706</xdr:colOff>
      <xdr:row>54</xdr:row>
      <xdr:rowOff>36241</xdr:rowOff>
    </xdr:from>
    <xdr:to>
      <xdr:col>6</xdr:col>
      <xdr:colOff>1709854</xdr:colOff>
      <xdr:row>67</xdr:row>
      <xdr:rowOff>92927</xdr:rowOff>
    </xdr:to>
    <xdr:graphicFrame macro="">
      <xdr:nvGraphicFramePr>
        <xdr:cNvPr id="7" name="Chart 6">
          <a:extLst>
            <a:ext uri="{FF2B5EF4-FFF2-40B4-BE49-F238E27FC236}">
              <a16:creationId xmlns:a16="http://schemas.microsoft.com/office/drawing/2014/main" id="{F25269CD-F67B-53D7-0268-BE2B34504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130097</xdr:colOff>
      <xdr:row>78</xdr:row>
      <xdr:rowOff>147755</xdr:rowOff>
    </xdr:from>
    <xdr:to>
      <xdr:col>6</xdr:col>
      <xdr:colOff>659781</xdr:colOff>
      <xdr:row>86</xdr:row>
      <xdr:rowOff>157976</xdr:rowOff>
    </xdr:to>
    <xdr:graphicFrame macro="">
      <xdr:nvGraphicFramePr>
        <xdr:cNvPr id="8" name="Chart 7">
          <a:extLst>
            <a:ext uri="{FF2B5EF4-FFF2-40B4-BE49-F238E27FC236}">
              <a16:creationId xmlns:a16="http://schemas.microsoft.com/office/drawing/2014/main" id="{D7E0DCB3-F26C-E033-431D-AFC3E77E5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224729</xdr:colOff>
      <xdr:row>0</xdr:row>
      <xdr:rowOff>160988</xdr:rowOff>
    </xdr:from>
    <xdr:to>
      <xdr:col>12</xdr:col>
      <xdr:colOff>527205</xdr:colOff>
      <xdr:row>8</xdr:row>
      <xdr:rowOff>148417</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0A83B52-32DA-0580-6FE1-AA36C0EF3D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255205" y="160988"/>
              <a:ext cx="15120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172599</xdr:colOff>
      <xdr:row>9</xdr:row>
      <xdr:rowOff>12096</xdr:rowOff>
    </xdr:from>
    <xdr:to>
      <xdr:col>13</xdr:col>
      <xdr:colOff>77763</xdr:colOff>
      <xdr:row>17</xdr:row>
      <xdr:rowOff>144667</xdr:rowOff>
    </xdr:to>
    <mc:AlternateContent xmlns:mc="http://schemas.openxmlformats.org/markup-compatibility/2006">
      <mc:Choice xmlns:a14="http://schemas.microsoft.com/office/drawing/2010/main" Requires="a14">
        <xdr:graphicFrame macro="">
          <xdr:nvGraphicFramePr>
            <xdr:cNvPr id="10" name="Payment Method">
              <a:extLst>
                <a:ext uri="{FF2B5EF4-FFF2-40B4-BE49-F238E27FC236}">
                  <a16:creationId xmlns:a16="http://schemas.microsoft.com/office/drawing/2014/main" id="{17BCC857-AD74-F6D9-2212-689A926FE43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4203075" y="1790096"/>
              <a:ext cx="171945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592182</xdr:colOff>
      <xdr:row>21</xdr:row>
      <xdr:rowOff>177679</xdr:rowOff>
    </xdr:from>
    <xdr:to>
      <xdr:col>12</xdr:col>
      <xdr:colOff>454108</xdr:colOff>
      <xdr:row>27</xdr:row>
      <xdr:rowOff>169108</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7CACF655-EA31-0111-E1CF-1F950E8DCCC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4622658" y="4132822"/>
              <a:ext cx="107145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443290</xdr:colOff>
      <xdr:row>18</xdr:row>
      <xdr:rowOff>65072</xdr:rowOff>
    </xdr:from>
    <xdr:to>
      <xdr:col>12</xdr:col>
      <xdr:colOff>411237</xdr:colOff>
      <xdr:row>21</xdr:row>
      <xdr:rowOff>133047</xdr:rowOff>
    </xdr:to>
    <mc:AlternateContent xmlns:mc="http://schemas.openxmlformats.org/markup-compatibility/2006">
      <mc:Choice xmlns:a14="http://schemas.microsoft.com/office/drawing/2010/main" Requires="a14">
        <xdr:graphicFrame macro="">
          <xdr:nvGraphicFramePr>
            <xdr:cNvPr id="12" name="Quarter">
              <a:extLst>
                <a:ext uri="{FF2B5EF4-FFF2-40B4-BE49-F238E27FC236}">
                  <a16:creationId xmlns:a16="http://schemas.microsoft.com/office/drawing/2014/main" id="{F4DEFD3D-A463-F50B-85A5-9C349DA69E5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473766" y="3475929"/>
              <a:ext cx="1177471" cy="612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2</xdr:row>
      <xdr:rowOff>68580</xdr:rowOff>
    </xdr:from>
    <xdr:to>
      <xdr:col>2</xdr:col>
      <xdr:colOff>475448</xdr:colOff>
      <xdr:row>5</xdr:row>
      <xdr:rowOff>144780</xdr:rowOff>
    </xdr:to>
    <xdr:grpSp>
      <xdr:nvGrpSpPr>
        <xdr:cNvPr id="16" name="Group 15">
          <a:extLst>
            <a:ext uri="{FF2B5EF4-FFF2-40B4-BE49-F238E27FC236}">
              <a16:creationId xmlns:a16="http://schemas.microsoft.com/office/drawing/2014/main" id="{7427AFB8-1882-F1AC-6233-E326A2BA8395}"/>
            </a:ext>
          </a:extLst>
        </xdr:cNvPr>
        <xdr:cNvGrpSpPr/>
      </xdr:nvGrpSpPr>
      <xdr:grpSpPr>
        <a:xfrm>
          <a:off x="91440" y="424840"/>
          <a:ext cx="1611125" cy="610589"/>
          <a:chOff x="91440" y="434340"/>
          <a:chExt cx="1603208" cy="624840"/>
        </a:xfrm>
      </xdr:grpSpPr>
      <xdr:sp macro="" textlink="">
        <xdr:nvSpPr>
          <xdr:cNvPr id="2" name="Rectangle: Top Corners Rounded 1">
            <a:extLst>
              <a:ext uri="{FF2B5EF4-FFF2-40B4-BE49-F238E27FC236}">
                <a16:creationId xmlns:a16="http://schemas.microsoft.com/office/drawing/2014/main" id="{B1CD855D-684E-8CF6-4821-C0AE172AD007}"/>
              </a:ext>
            </a:extLst>
          </xdr:cNvPr>
          <xdr:cNvSpPr/>
        </xdr:nvSpPr>
        <xdr:spPr>
          <a:xfrm>
            <a:off x="91440" y="434340"/>
            <a:ext cx="1603208"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3" name="Picture 2">
            <a:extLst>
              <a:ext uri="{FF2B5EF4-FFF2-40B4-BE49-F238E27FC236}">
                <a16:creationId xmlns:a16="http://schemas.microsoft.com/office/drawing/2014/main" id="{9723A32D-A97D-3871-2C8A-375EA6D91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 y="499110"/>
            <a:ext cx="1485900" cy="5181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575796</xdr:colOff>
      <xdr:row>2</xdr:row>
      <xdr:rowOff>68580</xdr:rowOff>
    </xdr:from>
    <xdr:to>
      <xdr:col>5</xdr:col>
      <xdr:colOff>354816</xdr:colOff>
      <xdr:row>5</xdr:row>
      <xdr:rowOff>144780</xdr:rowOff>
    </xdr:to>
    <xdr:grpSp>
      <xdr:nvGrpSpPr>
        <xdr:cNvPr id="17" name="Group 16">
          <a:extLst>
            <a:ext uri="{FF2B5EF4-FFF2-40B4-BE49-F238E27FC236}">
              <a16:creationId xmlns:a16="http://schemas.microsoft.com/office/drawing/2014/main" id="{04A04F62-73DE-E100-76FD-EE60403509EA}"/>
            </a:ext>
          </a:extLst>
        </xdr:cNvPr>
        <xdr:cNvGrpSpPr/>
      </xdr:nvGrpSpPr>
      <xdr:grpSpPr>
        <a:xfrm>
          <a:off x="1802913" y="424840"/>
          <a:ext cx="1619695" cy="610589"/>
          <a:chOff x="1794996" y="434340"/>
          <a:chExt cx="1607820" cy="624840"/>
        </a:xfrm>
      </xdr:grpSpPr>
      <xdr:sp macro="" textlink="">
        <xdr:nvSpPr>
          <xdr:cNvPr id="4" name="Rectangle: Top Corners Rounded 3">
            <a:extLst>
              <a:ext uri="{FF2B5EF4-FFF2-40B4-BE49-F238E27FC236}">
                <a16:creationId xmlns:a16="http://schemas.microsoft.com/office/drawing/2014/main" id="{839C64C1-7F9A-4301-9B81-0566D70348FD}"/>
              </a:ext>
            </a:extLst>
          </xdr:cNvPr>
          <xdr:cNvSpPr/>
        </xdr:nvSpPr>
        <xdr:spPr>
          <a:xfrm>
            <a:off x="1794996" y="434340"/>
            <a:ext cx="1607820"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10" name="Picture 9">
            <a:extLst>
              <a:ext uri="{FF2B5EF4-FFF2-40B4-BE49-F238E27FC236}">
                <a16:creationId xmlns:a16="http://schemas.microsoft.com/office/drawing/2014/main" id="{B2DFC208-A5CF-63AC-5DC7-51171C570C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7348" y="499110"/>
            <a:ext cx="1372529" cy="5181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11</xdr:col>
      <xdr:colOff>294605</xdr:colOff>
      <xdr:row>2</xdr:row>
      <xdr:rowOff>68580</xdr:rowOff>
    </xdr:from>
    <xdr:to>
      <xdr:col>14</xdr:col>
      <xdr:colOff>119345</xdr:colOff>
      <xdr:row>5</xdr:row>
      <xdr:rowOff>144780</xdr:rowOff>
    </xdr:to>
    <xdr:grpSp>
      <xdr:nvGrpSpPr>
        <xdr:cNvPr id="20" name="Group 19">
          <a:extLst>
            <a:ext uri="{FF2B5EF4-FFF2-40B4-BE49-F238E27FC236}">
              <a16:creationId xmlns:a16="http://schemas.microsoft.com/office/drawing/2014/main" id="{0B3B1CD6-9BB6-3B18-2D80-48DE763E0C90}"/>
            </a:ext>
          </a:extLst>
        </xdr:cNvPr>
        <xdr:cNvGrpSpPr/>
      </xdr:nvGrpSpPr>
      <xdr:grpSpPr>
        <a:xfrm>
          <a:off x="7043748" y="424840"/>
          <a:ext cx="1665415" cy="610589"/>
          <a:chOff x="7000205" y="434340"/>
          <a:chExt cx="1653540" cy="624840"/>
        </a:xfrm>
      </xdr:grpSpPr>
      <xdr:sp macro="" textlink="">
        <xdr:nvSpPr>
          <xdr:cNvPr id="7" name="Rectangle: Top Corners Rounded 6">
            <a:extLst>
              <a:ext uri="{FF2B5EF4-FFF2-40B4-BE49-F238E27FC236}">
                <a16:creationId xmlns:a16="http://schemas.microsoft.com/office/drawing/2014/main" id="{7D06DA6B-5CD9-4E07-9CDD-4B7A4C23BD44}"/>
              </a:ext>
            </a:extLst>
          </xdr:cNvPr>
          <xdr:cNvSpPr/>
        </xdr:nvSpPr>
        <xdr:spPr>
          <a:xfrm>
            <a:off x="7000205" y="434340"/>
            <a:ext cx="1653540"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13" name="Picture 12">
            <a:extLst>
              <a:ext uri="{FF2B5EF4-FFF2-40B4-BE49-F238E27FC236}">
                <a16:creationId xmlns:a16="http://schemas.microsoft.com/office/drawing/2014/main" id="{CBB85B9E-6774-468F-D506-4BCD385DBBFA}"/>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9677" r="10599"/>
          <a:stretch>
            <a:fillRect/>
          </a:stretch>
        </xdr:blipFill>
        <xdr:spPr bwMode="auto">
          <a:xfrm>
            <a:off x="7126658" y="499110"/>
            <a:ext cx="1395426" cy="5181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14</xdr:col>
      <xdr:colOff>219693</xdr:colOff>
      <xdr:row>2</xdr:row>
      <xdr:rowOff>68580</xdr:rowOff>
    </xdr:from>
    <xdr:to>
      <xdr:col>17</xdr:col>
      <xdr:colOff>36813</xdr:colOff>
      <xdr:row>5</xdr:row>
      <xdr:rowOff>144780</xdr:rowOff>
    </xdr:to>
    <xdr:grpSp>
      <xdr:nvGrpSpPr>
        <xdr:cNvPr id="21" name="Group 20">
          <a:extLst>
            <a:ext uri="{FF2B5EF4-FFF2-40B4-BE49-F238E27FC236}">
              <a16:creationId xmlns:a16="http://schemas.microsoft.com/office/drawing/2014/main" id="{31F96759-E6F1-9487-5369-306056090AD1}"/>
            </a:ext>
          </a:extLst>
        </xdr:cNvPr>
        <xdr:cNvGrpSpPr/>
      </xdr:nvGrpSpPr>
      <xdr:grpSpPr>
        <a:xfrm>
          <a:off x="8809511" y="424840"/>
          <a:ext cx="1657796" cy="610589"/>
          <a:chOff x="8754093" y="434340"/>
          <a:chExt cx="1645920" cy="624840"/>
        </a:xfrm>
      </xdr:grpSpPr>
      <xdr:sp macro="" textlink="">
        <xdr:nvSpPr>
          <xdr:cNvPr id="8" name="Rectangle: Top Corners Rounded 7">
            <a:extLst>
              <a:ext uri="{FF2B5EF4-FFF2-40B4-BE49-F238E27FC236}">
                <a16:creationId xmlns:a16="http://schemas.microsoft.com/office/drawing/2014/main" id="{E508B220-DE6F-4BAF-AF6A-644C81DBC960}"/>
              </a:ext>
            </a:extLst>
          </xdr:cNvPr>
          <xdr:cNvSpPr/>
        </xdr:nvSpPr>
        <xdr:spPr>
          <a:xfrm>
            <a:off x="8754093" y="434340"/>
            <a:ext cx="1645920"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14" name="Picture 13">
            <a:extLst>
              <a:ext uri="{FF2B5EF4-FFF2-40B4-BE49-F238E27FC236}">
                <a16:creationId xmlns:a16="http://schemas.microsoft.com/office/drawing/2014/main" id="{736F6A0B-65B4-F9A1-B8D8-C287EE54B24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3592" t="-1471" r="13835"/>
          <a:stretch>
            <a:fillRect/>
          </a:stretch>
        </xdr:blipFill>
        <xdr:spPr bwMode="auto">
          <a:xfrm>
            <a:off x="8783512" y="495300"/>
            <a:ext cx="1577340" cy="5257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17</xdr:col>
      <xdr:colOff>137160</xdr:colOff>
      <xdr:row>2</xdr:row>
      <xdr:rowOff>68580</xdr:rowOff>
    </xdr:from>
    <xdr:to>
      <xdr:col>19</xdr:col>
      <xdr:colOff>556260</xdr:colOff>
      <xdr:row>5</xdr:row>
      <xdr:rowOff>144780</xdr:rowOff>
    </xdr:to>
    <xdr:grpSp>
      <xdr:nvGrpSpPr>
        <xdr:cNvPr id="22" name="Group 21">
          <a:extLst>
            <a:ext uri="{FF2B5EF4-FFF2-40B4-BE49-F238E27FC236}">
              <a16:creationId xmlns:a16="http://schemas.microsoft.com/office/drawing/2014/main" id="{A60DC44A-D7AA-A61C-6EE2-42A69FD15EE4}"/>
            </a:ext>
          </a:extLst>
        </xdr:cNvPr>
        <xdr:cNvGrpSpPr/>
      </xdr:nvGrpSpPr>
      <xdr:grpSpPr>
        <a:xfrm>
          <a:off x="10567654" y="424840"/>
          <a:ext cx="1646216" cy="610589"/>
          <a:chOff x="10500360" y="434340"/>
          <a:chExt cx="1638300" cy="624840"/>
        </a:xfrm>
      </xdr:grpSpPr>
      <xdr:sp macro="" textlink="">
        <xdr:nvSpPr>
          <xdr:cNvPr id="9" name="Rectangle: Top Corners Rounded 8">
            <a:extLst>
              <a:ext uri="{FF2B5EF4-FFF2-40B4-BE49-F238E27FC236}">
                <a16:creationId xmlns:a16="http://schemas.microsoft.com/office/drawing/2014/main" id="{7A6B9D6A-2938-4609-964E-04BE9B18B67B}"/>
              </a:ext>
            </a:extLst>
          </xdr:cNvPr>
          <xdr:cNvSpPr/>
        </xdr:nvSpPr>
        <xdr:spPr>
          <a:xfrm>
            <a:off x="10500360" y="434340"/>
            <a:ext cx="1638300"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15" name="Picture 14">
            <a:extLst>
              <a:ext uri="{FF2B5EF4-FFF2-40B4-BE49-F238E27FC236}">
                <a16:creationId xmlns:a16="http://schemas.microsoft.com/office/drawing/2014/main" id="{DC010783-44D7-7330-64C1-46116EB42A52}"/>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1854" t="-1471" r="11854"/>
          <a:stretch>
            <a:fillRect/>
          </a:stretch>
        </xdr:blipFill>
        <xdr:spPr bwMode="auto">
          <a:xfrm>
            <a:off x="10538460" y="495300"/>
            <a:ext cx="1554480" cy="5257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5</xdr:col>
      <xdr:colOff>455164</xdr:colOff>
      <xdr:row>2</xdr:row>
      <xdr:rowOff>68580</xdr:rowOff>
    </xdr:from>
    <xdr:to>
      <xdr:col>8</xdr:col>
      <xdr:colOff>292029</xdr:colOff>
      <xdr:row>5</xdr:row>
      <xdr:rowOff>144780</xdr:rowOff>
    </xdr:to>
    <xdr:grpSp>
      <xdr:nvGrpSpPr>
        <xdr:cNvPr id="24" name="Group 23">
          <a:extLst>
            <a:ext uri="{FF2B5EF4-FFF2-40B4-BE49-F238E27FC236}">
              <a16:creationId xmlns:a16="http://schemas.microsoft.com/office/drawing/2014/main" id="{84EA418B-EDE1-D770-B97E-FB90AB877F9A}"/>
            </a:ext>
          </a:extLst>
        </xdr:cNvPr>
        <xdr:cNvGrpSpPr/>
      </xdr:nvGrpSpPr>
      <xdr:grpSpPr>
        <a:xfrm>
          <a:off x="3522956" y="424840"/>
          <a:ext cx="1677541" cy="610589"/>
          <a:chOff x="3503164" y="434340"/>
          <a:chExt cx="1665665" cy="624840"/>
        </a:xfrm>
      </xdr:grpSpPr>
      <xdr:sp macro="" textlink="">
        <xdr:nvSpPr>
          <xdr:cNvPr id="5" name="Rectangle: Top Corners Rounded 4">
            <a:extLst>
              <a:ext uri="{FF2B5EF4-FFF2-40B4-BE49-F238E27FC236}">
                <a16:creationId xmlns:a16="http://schemas.microsoft.com/office/drawing/2014/main" id="{DD653144-FA07-4722-806A-FFDCEAE73921}"/>
              </a:ext>
            </a:extLst>
          </xdr:cNvPr>
          <xdr:cNvSpPr/>
        </xdr:nvSpPr>
        <xdr:spPr>
          <a:xfrm>
            <a:off x="3503164" y="434340"/>
            <a:ext cx="1665665"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23" name="Picture 22">
            <a:extLst>
              <a:ext uri="{FF2B5EF4-FFF2-40B4-BE49-F238E27FC236}">
                <a16:creationId xmlns:a16="http://schemas.microsoft.com/office/drawing/2014/main" id="{E73F0A4F-F135-9E80-4914-C19C9FABF4E2}"/>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0138" r="9217"/>
          <a:stretch>
            <a:fillRect/>
          </a:stretch>
        </xdr:blipFill>
        <xdr:spPr bwMode="auto">
          <a:xfrm>
            <a:off x="3566160" y="502920"/>
            <a:ext cx="1531620" cy="5181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392377</xdr:colOff>
      <xdr:row>2</xdr:row>
      <xdr:rowOff>68580</xdr:rowOff>
    </xdr:from>
    <xdr:to>
      <xdr:col>11</xdr:col>
      <xdr:colOff>194257</xdr:colOff>
      <xdr:row>5</xdr:row>
      <xdr:rowOff>144780</xdr:rowOff>
    </xdr:to>
    <xdr:grpSp>
      <xdr:nvGrpSpPr>
        <xdr:cNvPr id="26" name="Group 25">
          <a:extLst>
            <a:ext uri="{FF2B5EF4-FFF2-40B4-BE49-F238E27FC236}">
              <a16:creationId xmlns:a16="http://schemas.microsoft.com/office/drawing/2014/main" id="{04C105AF-10E7-3D8F-229F-5BFA97BBFE72}"/>
            </a:ext>
          </a:extLst>
        </xdr:cNvPr>
        <xdr:cNvGrpSpPr/>
      </xdr:nvGrpSpPr>
      <xdr:grpSpPr>
        <a:xfrm>
          <a:off x="5300845" y="424840"/>
          <a:ext cx="1642555" cy="610589"/>
          <a:chOff x="5269177" y="434340"/>
          <a:chExt cx="1630680" cy="624840"/>
        </a:xfrm>
      </xdr:grpSpPr>
      <xdr:sp macro="" textlink="">
        <xdr:nvSpPr>
          <xdr:cNvPr id="6" name="Rectangle: Top Corners Rounded 5">
            <a:extLst>
              <a:ext uri="{FF2B5EF4-FFF2-40B4-BE49-F238E27FC236}">
                <a16:creationId xmlns:a16="http://schemas.microsoft.com/office/drawing/2014/main" id="{8641F9CB-E2F9-474E-8012-AA5410AE4B16}"/>
              </a:ext>
            </a:extLst>
          </xdr:cNvPr>
          <xdr:cNvSpPr/>
        </xdr:nvSpPr>
        <xdr:spPr>
          <a:xfrm>
            <a:off x="5269177" y="434340"/>
            <a:ext cx="1630680" cy="624840"/>
          </a:xfrm>
          <a:prstGeom prst="round2Same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kern="1200"/>
          </a:p>
        </xdr:txBody>
      </xdr:sp>
      <xdr:pic>
        <xdr:nvPicPr>
          <xdr:cNvPr id="25" name="Picture 24">
            <a:extLst>
              <a:ext uri="{FF2B5EF4-FFF2-40B4-BE49-F238E27FC236}">
                <a16:creationId xmlns:a16="http://schemas.microsoft.com/office/drawing/2014/main" id="{5137284A-5163-8D68-924B-85AA61D97198}"/>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2245" t="-1471" r="12245"/>
          <a:stretch>
            <a:fillRect/>
          </a:stretch>
        </xdr:blipFill>
        <xdr:spPr bwMode="auto">
          <a:xfrm>
            <a:off x="5326380" y="495300"/>
            <a:ext cx="1508760" cy="5257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322446</xdr:colOff>
      <xdr:row>6</xdr:row>
      <xdr:rowOff>9491</xdr:rowOff>
    </xdr:from>
    <xdr:to>
      <xdr:col>6</xdr:col>
      <xdr:colOff>581526</xdr:colOff>
      <xdr:row>18</xdr:row>
      <xdr:rowOff>155664</xdr:rowOff>
    </xdr:to>
    <xdr:graphicFrame macro="">
      <xdr:nvGraphicFramePr>
        <xdr:cNvPr id="27" name="Chart 26">
          <a:extLst>
            <a:ext uri="{FF2B5EF4-FFF2-40B4-BE49-F238E27FC236}">
              <a16:creationId xmlns:a16="http://schemas.microsoft.com/office/drawing/2014/main" id="{E2A49933-C60D-4387-9B54-E9D6D9446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12298</xdr:colOff>
      <xdr:row>6</xdr:row>
      <xdr:rowOff>9491</xdr:rowOff>
    </xdr:from>
    <xdr:to>
      <xdr:col>10</xdr:col>
      <xdr:colOff>551046</xdr:colOff>
      <xdr:row>18</xdr:row>
      <xdr:rowOff>154271</xdr:rowOff>
    </xdr:to>
    <xdr:graphicFrame macro="">
      <xdr:nvGraphicFramePr>
        <xdr:cNvPr id="28" name="Chart 27">
          <a:extLst>
            <a:ext uri="{FF2B5EF4-FFF2-40B4-BE49-F238E27FC236}">
              <a16:creationId xmlns:a16="http://schemas.microsoft.com/office/drawing/2014/main" id="{DA74E5DF-8DFC-431B-9C6B-8F69B633A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604387</xdr:colOff>
      <xdr:row>6</xdr:row>
      <xdr:rowOff>9491</xdr:rowOff>
    </xdr:from>
    <xdr:to>
      <xdr:col>19</xdr:col>
      <xdr:colOff>528186</xdr:colOff>
      <xdr:row>18</xdr:row>
      <xdr:rowOff>146651</xdr:rowOff>
    </xdr:to>
    <xdr:graphicFrame macro="">
      <xdr:nvGraphicFramePr>
        <xdr:cNvPr id="29" name="Chart 28">
          <a:extLst>
            <a:ext uri="{FF2B5EF4-FFF2-40B4-BE49-F238E27FC236}">
              <a16:creationId xmlns:a16="http://schemas.microsoft.com/office/drawing/2014/main" id="{0DCB461D-B163-4753-8B60-3903B8D3D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330066</xdr:colOff>
      <xdr:row>19</xdr:row>
      <xdr:rowOff>32351</xdr:rowOff>
    </xdr:from>
    <xdr:to>
      <xdr:col>8</xdr:col>
      <xdr:colOff>19919</xdr:colOff>
      <xdr:row>32</xdr:row>
      <xdr:rowOff>127694</xdr:rowOff>
    </xdr:to>
    <xdr:graphicFrame macro="">
      <xdr:nvGraphicFramePr>
        <xdr:cNvPr id="30" name="Chart 29">
          <a:extLst>
            <a:ext uri="{FF2B5EF4-FFF2-40B4-BE49-F238E27FC236}">
              <a16:creationId xmlns:a16="http://schemas.microsoft.com/office/drawing/2014/main" id="{C61757E0-F681-44EC-9353-4F9E08026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80879</xdr:colOff>
      <xdr:row>19</xdr:row>
      <xdr:rowOff>32351</xdr:rowOff>
    </xdr:from>
    <xdr:to>
      <xdr:col>12</xdr:col>
      <xdr:colOff>141839</xdr:colOff>
      <xdr:row>32</xdr:row>
      <xdr:rowOff>131411</xdr:rowOff>
    </xdr:to>
    <xdr:graphicFrame macro="">
      <xdr:nvGraphicFramePr>
        <xdr:cNvPr id="31" name="Chart 30">
          <a:extLst>
            <a:ext uri="{FF2B5EF4-FFF2-40B4-BE49-F238E27FC236}">
              <a16:creationId xmlns:a16="http://schemas.microsoft.com/office/drawing/2014/main" id="{BA732057-DA0B-43F7-AC40-7C7A0A28D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208147</xdr:colOff>
      <xdr:row>19</xdr:row>
      <xdr:rowOff>39971</xdr:rowOff>
    </xdr:from>
    <xdr:to>
      <xdr:col>19</xdr:col>
      <xdr:colOff>551046</xdr:colOff>
      <xdr:row>32</xdr:row>
      <xdr:rowOff>123791</xdr:rowOff>
    </xdr:to>
    <xdr:graphicFrame macro="">
      <xdr:nvGraphicFramePr>
        <xdr:cNvPr id="32" name="Chart 31">
          <a:extLst>
            <a:ext uri="{FF2B5EF4-FFF2-40B4-BE49-F238E27FC236}">
              <a16:creationId xmlns:a16="http://schemas.microsoft.com/office/drawing/2014/main" id="{8E3F4895-A628-4A8D-AF84-B8DDA2378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347579</xdr:colOff>
      <xdr:row>32</xdr:row>
      <xdr:rowOff>155965</xdr:rowOff>
    </xdr:from>
    <xdr:to>
      <xdr:col>11</xdr:col>
      <xdr:colOff>188828</xdr:colOff>
      <xdr:row>41</xdr:row>
      <xdr:rowOff>184372</xdr:rowOff>
    </xdr:to>
    <xdr:grpSp>
      <xdr:nvGrpSpPr>
        <xdr:cNvPr id="39" name="Group 38">
          <a:extLst>
            <a:ext uri="{FF2B5EF4-FFF2-40B4-BE49-F238E27FC236}">
              <a16:creationId xmlns:a16="http://schemas.microsoft.com/office/drawing/2014/main" id="{005D7FAE-EA54-0D34-A476-546264ECFD08}"/>
            </a:ext>
          </a:extLst>
        </xdr:cNvPr>
        <xdr:cNvGrpSpPr/>
      </xdr:nvGrpSpPr>
      <xdr:grpSpPr>
        <a:xfrm>
          <a:off x="1574696" y="5856121"/>
          <a:ext cx="5363275" cy="1631576"/>
          <a:chOff x="127000" y="5926667"/>
          <a:chExt cx="4159250" cy="1640416"/>
        </a:xfrm>
        <a:effectLst>
          <a:outerShdw blurRad="50800" dist="38100" dir="2700000" algn="tl" rotWithShape="0">
            <a:prstClr val="black">
              <a:alpha val="40000"/>
            </a:prstClr>
          </a:outerShdw>
        </a:effectLst>
      </xdr:grpSpPr>
      <xdr:sp macro="" textlink="">
        <xdr:nvSpPr>
          <xdr:cNvPr id="33" name="Rectangle 32">
            <a:extLst>
              <a:ext uri="{FF2B5EF4-FFF2-40B4-BE49-F238E27FC236}">
                <a16:creationId xmlns:a16="http://schemas.microsoft.com/office/drawing/2014/main" id="{CAF374A4-2949-DAB3-A92D-A2DCCFB4ADEC}"/>
              </a:ext>
            </a:extLst>
          </xdr:cNvPr>
          <xdr:cNvSpPr/>
        </xdr:nvSpPr>
        <xdr:spPr>
          <a:xfrm>
            <a:off x="127000" y="5926667"/>
            <a:ext cx="4159250" cy="1640416"/>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kern="1200"/>
          </a:p>
        </xdr:txBody>
      </xdr:sp>
      <xdr:pic>
        <xdr:nvPicPr>
          <xdr:cNvPr id="35" name="Picture 34">
            <a:extLst>
              <a:ext uri="{FF2B5EF4-FFF2-40B4-BE49-F238E27FC236}">
                <a16:creationId xmlns:a16="http://schemas.microsoft.com/office/drawing/2014/main" id="{2A505107-1395-7739-FFD1-E3733C8D9F49}"/>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01083" y="6244167"/>
            <a:ext cx="4018280" cy="126703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37" name="Picture 36">
            <a:extLst>
              <a:ext uri="{FF2B5EF4-FFF2-40B4-BE49-F238E27FC236}">
                <a16:creationId xmlns:a16="http://schemas.microsoft.com/office/drawing/2014/main" id="{D9B98E39-1EC5-0921-6311-837D459758D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19667" y="5979584"/>
            <a:ext cx="2935393" cy="20277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11</xdr:col>
      <xdr:colOff>306359</xdr:colOff>
      <xdr:row>32</xdr:row>
      <xdr:rowOff>184373</xdr:rowOff>
    </xdr:from>
    <xdr:to>
      <xdr:col>19</xdr:col>
      <xdr:colOff>560358</xdr:colOff>
      <xdr:row>42</xdr:row>
      <xdr:rowOff>7798</xdr:rowOff>
    </xdr:to>
    <xdr:graphicFrame macro="">
      <xdr:nvGraphicFramePr>
        <xdr:cNvPr id="38" name="Chart 37">
          <a:extLst>
            <a:ext uri="{FF2B5EF4-FFF2-40B4-BE49-F238E27FC236}">
              <a16:creationId xmlns:a16="http://schemas.microsoft.com/office/drawing/2014/main" id="{C7E0E2E9-45D8-4A46-9F02-E012D6184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54202</xdr:colOff>
      <xdr:row>6</xdr:row>
      <xdr:rowOff>19115</xdr:rowOff>
    </xdr:from>
    <xdr:to>
      <xdr:col>2</xdr:col>
      <xdr:colOff>256071</xdr:colOff>
      <xdr:row>15</xdr:row>
      <xdr:rowOff>98961</xdr:rowOff>
    </xdr:to>
    <mc:AlternateContent xmlns:mc="http://schemas.openxmlformats.org/markup-compatibility/2006">
      <mc:Choice xmlns:a14="http://schemas.microsoft.com/office/drawing/2010/main" Requires="a14">
        <xdr:graphicFrame macro="">
          <xdr:nvGraphicFramePr>
            <xdr:cNvPr id="40" name="Category 1">
              <a:extLst>
                <a:ext uri="{FF2B5EF4-FFF2-40B4-BE49-F238E27FC236}">
                  <a16:creationId xmlns:a16="http://schemas.microsoft.com/office/drawing/2014/main" id="{52949FB7-D9BC-4F18-A02C-530FB195A64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4202" y="1087894"/>
              <a:ext cx="1428986" cy="1683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54874</xdr:colOff>
      <xdr:row>16</xdr:row>
      <xdr:rowOff>23360</xdr:rowOff>
    </xdr:from>
    <xdr:to>
      <xdr:col>2</xdr:col>
      <xdr:colOff>255400</xdr:colOff>
      <xdr:row>25</xdr:row>
      <xdr:rowOff>112242</xdr:rowOff>
    </xdr:to>
    <mc:AlternateContent xmlns:mc="http://schemas.openxmlformats.org/markup-compatibility/2006">
      <mc:Choice xmlns:a14="http://schemas.microsoft.com/office/drawing/2010/main" Requires="a14">
        <xdr:graphicFrame macro="">
          <xdr:nvGraphicFramePr>
            <xdr:cNvPr id="41" name="Payment Method 1">
              <a:extLst>
                <a:ext uri="{FF2B5EF4-FFF2-40B4-BE49-F238E27FC236}">
                  <a16:creationId xmlns:a16="http://schemas.microsoft.com/office/drawing/2014/main" id="{2A50B1D2-B593-4F66-9EDD-B3733AE9CBA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54874" y="2873438"/>
              <a:ext cx="1427643" cy="1692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77508</xdr:colOff>
      <xdr:row>30</xdr:row>
      <xdr:rowOff>11830</xdr:rowOff>
    </xdr:from>
    <xdr:to>
      <xdr:col>2</xdr:col>
      <xdr:colOff>232766</xdr:colOff>
      <xdr:row>36</xdr:row>
      <xdr:rowOff>59377</xdr:rowOff>
    </xdr:to>
    <mc:AlternateContent xmlns:mc="http://schemas.openxmlformats.org/markup-compatibility/2006">
      <mc:Choice xmlns:a14="http://schemas.microsoft.com/office/drawing/2010/main" Requires="a14">
        <xdr:graphicFrame macro="">
          <xdr:nvGraphicFramePr>
            <xdr:cNvPr id="42" name="Status 1">
              <a:extLst>
                <a:ext uri="{FF2B5EF4-FFF2-40B4-BE49-F238E27FC236}">
                  <a16:creationId xmlns:a16="http://schemas.microsoft.com/office/drawing/2014/main" id="{E500AE20-CFA4-4F65-8AC5-1946E489A5D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77508" y="5355726"/>
              <a:ext cx="1382375" cy="111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63219</xdr:colOff>
      <xdr:row>26</xdr:row>
      <xdr:rowOff>36641</xdr:rowOff>
    </xdr:from>
    <xdr:to>
      <xdr:col>2</xdr:col>
      <xdr:colOff>247054</xdr:colOff>
      <xdr:row>29</xdr:row>
      <xdr:rowOff>87430</xdr:rowOff>
    </xdr:to>
    <mc:AlternateContent xmlns:mc="http://schemas.openxmlformats.org/markup-compatibility/2006">
      <mc:Choice xmlns:a14="http://schemas.microsoft.com/office/drawing/2010/main" Requires="a14">
        <xdr:graphicFrame macro="">
          <xdr:nvGraphicFramePr>
            <xdr:cNvPr id="43" name="Quarter 1">
              <a:extLst>
                <a:ext uri="{FF2B5EF4-FFF2-40B4-BE49-F238E27FC236}">
                  <a16:creationId xmlns:a16="http://schemas.microsoft.com/office/drawing/2014/main" id="{B6F52546-40D1-4434-A42C-8DE3601B8BA1}"/>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63219" y="4668018"/>
              <a:ext cx="1410952" cy="585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387685</xdr:colOff>
      <xdr:row>53</xdr:row>
      <xdr:rowOff>160421</xdr:rowOff>
    </xdr:from>
    <xdr:to>
      <xdr:col>6</xdr:col>
      <xdr:colOff>882316</xdr:colOff>
      <xdr:row>62</xdr:row>
      <xdr:rowOff>80211</xdr:rowOff>
    </xdr:to>
    <xdr:sp macro="" textlink="">
      <xdr:nvSpPr>
        <xdr:cNvPr id="2" name="Rectangle: Rounded Corners 1">
          <a:extLst>
            <a:ext uri="{FF2B5EF4-FFF2-40B4-BE49-F238E27FC236}">
              <a16:creationId xmlns:a16="http://schemas.microsoft.com/office/drawing/2014/main" id="{91740C12-FD32-031F-1B07-0FE611F83080}"/>
            </a:ext>
          </a:extLst>
        </xdr:cNvPr>
        <xdr:cNvSpPr/>
      </xdr:nvSpPr>
      <xdr:spPr>
        <a:xfrm>
          <a:off x="387685" y="11844421"/>
          <a:ext cx="13087684" cy="1604211"/>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0" kern="120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Critical finding: Only 88 of 250 orders (35.2%) are completed. ₹65,030 is lost to cancellations alone. The three priority actions are: (1) Investigate Home Appliances cancellations, (2) Promote Amazon Pay as default payment, (3) Conduct Los Angeles delivery audit.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i" refreshedDate="46084.98768460648" createdVersion="8" refreshedVersion="8" minRefreshableVersion="3" recordCount="250" xr:uid="{C1837465-1EBC-4169-9908-3AEC65DB63EE}">
  <cacheSource type="worksheet">
    <worksheetSource name="Table1"/>
  </cacheSource>
  <cacheFields count="19">
    <cacheField name="Order ID" numFmtId="0">
      <sharedItems/>
    </cacheField>
    <cacheField name="Date" numFmtId="14">
      <sharedItems containsSemiMixedTypes="0" containsNonDate="0" containsDate="1" containsString="0" minDate="2025-02-02T00:00:00" maxDate="2025-04-03T00:00:00"/>
    </cacheField>
    <cacheField name="Product" numFmtId="0">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14">
      <sharedItems count="6">
        <s v="March"/>
        <s v="February"/>
        <s v="April"/>
        <s v="March-2025" u="1"/>
        <s v="February-2025" u="1"/>
        <s v="April-2025" u="1"/>
      </sharedItems>
    </cacheField>
    <cacheField name="Month Number" numFmtId="1">
      <sharedItems containsSemiMixedTypes="0" containsString="0" containsNumber="1" containsInteger="1" minValue="2" maxValue="4"/>
    </cacheField>
    <cacheField name="Quarter" numFmtId="0">
      <sharedItems count="2">
        <s v="Q1"/>
        <s v="Q2"/>
      </sharedItems>
    </cacheField>
    <cacheField name="Revenue Bucket" numFmtId="0">
      <sharedItems/>
    </cacheField>
    <cacheField name="Order Size" numFmtId="0">
      <sharedItems/>
    </cacheField>
    <cacheField name="Is Completed" numFmtId="0">
      <sharedItems containsSemiMixedTypes="0" containsString="0" containsNumber="1" containsInteger="1" minValue="0" maxValue="1"/>
    </cacheField>
    <cacheField name="Is Cancelled" numFmtId="0">
      <sharedItems containsSemiMixedTypes="0" containsString="0" containsNumber="1" containsInteger="1" minValue="0" maxValue="1"/>
    </cacheField>
    <cacheField name="Revenue Lost" numFmtId="0">
      <sharedItems containsSemiMixedTypes="0" containsString="0" containsNumber="1" containsInteger="1" minValue="0" maxValue="6000"/>
    </cacheField>
  </cacheFields>
  <extLst>
    <ext xmlns:x14="http://schemas.microsoft.com/office/spreadsheetml/2009/9/main" uri="{725AE2AE-9491-48be-B2B4-4EB974FC3084}">
      <x14:pivotCacheDefinition pivotCacheId="648087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s v="Running Shoes"/>
    <x v="0"/>
    <n v="60"/>
    <n v="3"/>
    <n v="180"/>
    <x v="0"/>
    <x v="0"/>
    <x v="0"/>
    <x v="0"/>
    <x v="0"/>
    <n v="3"/>
    <x v="0"/>
    <s v="Low (&lt;2K)"/>
    <s v="Medium (3-4)"/>
    <n v="0"/>
    <n v="1"/>
    <n v="180"/>
  </r>
  <r>
    <s v="ORD0002"/>
    <d v="2025-03-20T00:00:00"/>
    <s v="Headphones"/>
    <x v="1"/>
    <n v="100"/>
    <n v="4"/>
    <n v="400"/>
    <x v="1"/>
    <x v="1"/>
    <x v="0"/>
    <x v="1"/>
    <x v="0"/>
    <n v="3"/>
    <x v="0"/>
    <s v="Low (&lt;2K)"/>
    <s v="Medium (3-4)"/>
    <n v="0"/>
    <n v="0"/>
    <n v="0"/>
  </r>
  <r>
    <s v="ORD0003"/>
    <d v="2025-02-15T00:00:00"/>
    <s v="Running Shoes"/>
    <x v="0"/>
    <n v="60"/>
    <n v="2"/>
    <n v="120"/>
    <x v="2"/>
    <x v="2"/>
    <x v="1"/>
    <x v="0"/>
    <x v="1"/>
    <n v="2"/>
    <x v="0"/>
    <s v="Low (&lt;2K)"/>
    <s v="Small (1-2)"/>
    <n v="0"/>
    <n v="1"/>
    <n v="120"/>
  </r>
  <r>
    <s v="ORD0004"/>
    <d v="2025-02-19T00:00:00"/>
    <s v="Running Shoes"/>
    <x v="0"/>
    <n v="60"/>
    <n v="3"/>
    <n v="180"/>
    <x v="3"/>
    <x v="3"/>
    <x v="2"/>
    <x v="1"/>
    <x v="1"/>
    <n v="2"/>
    <x v="0"/>
    <s v="Low (&lt;2K)"/>
    <s v="Medium (3-4)"/>
    <n v="0"/>
    <n v="0"/>
    <n v="0"/>
  </r>
  <r>
    <s v="ORD0005"/>
    <d v="2025-03-10T00:00:00"/>
    <s v="Smartwatch"/>
    <x v="1"/>
    <n v="150"/>
    <n v="3"/>
    <n v="450"/>
    <x v="0"/>
    <x v="0"/>
    <x v="0"/>
    <x v="1"/>
    <x v="0"/>
    <n v="3"/>
    <x v="0"/>
    <s v="Low (&lt;2K)"/>
    <s v="Medium (3-4)"/>
    <n v="0"/>
    <n v="0"/>
    <n v="0"/>
  </r>
  <r>
    <s v="ORD0006"/>
    <d v="2025-03-14T00:00:00"/>
    <s v="T-Shirt"/>
    <x v="2"/>
    <n v="20"/>
    <n v="1"/>
    <n v="20"/>
    <x v="2"/>
    <x v="3"/>
    <x v="2"/>
    <x v="1"/>
    <x v="0"/>
    <n v="3"/>
    <x v="0"/>
    <s v="Low (&lt;2K)"/>
    <s v="Small (1-2)"/>
    <n v="0"/>
    <n v="0"/>
    <n v="0"/>
  </r>
  <r>
    <s v="ORD0007"/>
    <d v="2025-03-18T00:00:00"/>
    <s v="Smartwatch"/>
    <x v="1"/>
    <n v="150"/>
    <n v="4"/>
    <n v="600"/>
    <x v="0"/>
    <x v="4"/>
    <x v="3"/>
    <x v="2"/>
    <x v="0"/>
    <n v="3"/>
    <x v="0"/>
    <s v="Low (&lt;2K)"/>
    <s v="Medium (3-4)"/>
    <n v="1"/>
    <n v="0"/>
    <n v="0"/>
  </r>
  <r>
    <s v="ORD0008"/>
    <d v="2025-03-02T00:00:00"/>
    <s v="Smartphone"/>
    <x v="1"/>
    <n v="500"/>
    <n v="1"/>
    <n v="500"/>
    <x v="4"/>
    <x v="5"/>
    <x v="3"/>
    <x v="2"/>
    <x v="0"/>
    <n v="3"/>
    <x v="0"/>
    <s v="Low (&lt;2K)"/>
    <s v="Small (1-2)"/>
    <n v="1"/>
    <n v="0"/>
    <n v="0"/>
  </r>
  <r>
    <s v="ORD0009"/>
    <d v="2025-03-08T00:00:00"/>
    <s v="T-Shirt"/>
    <x v="2"/>
    <n v="20"/>
    <n v="3"/>
    <n v="60"/>
    <x v="4"/>
    <x v="6"/>
    <x v="3"/>
    <x v="2"/>
    <x v="0"/>
    <n v="3"/>
    <x v="0"/>
    <s v="Low (&lt;2K)"/>
    <s v="Medium (3-4)"/>
    <n v="1"/>
    <n v="0"/>
    <n v="0"/>
  </r>
  <r>
    <s v="ORD0010"/>
    <d v="2025-03-12T00:00:00"/>
    <s v="Smartphone"/>
    <x v="1"/>
    <n v="500"/>
    <n v="1"/>
    <n v="500"/>
    <x v="1"/>
    <x v="1"/>
    <x v="2"/>
    <x v="0"/>
    <x v="0"/>
    <n v="3"/>
    <x v="0"/>
    <s v="Low (&lt;2K)"/>
    <s v="Small (1-2)"/>
    <n v="0"/>
    <n v="1"/>
    <n v="500"/>
  </r>
  <r>
    <s v="ORD0011"/>
    <d v="2025-02-17T00:00:00"/>
    <s v="Book"/>
    <x v="3"/>
    <n v="15"/>
    <n v="2"/>
    <n v="30"/>
    <x v="5"/>
    <x v="6"/>
    <x v="1"/>
    <x v="1"/>
    <x v="1"/>
    <n v="2"/>
    <x v="0"/>
    <s v="Low (&lt;2K)"/>
    <s v="Small (1-2)"/>
    <n v="0"/>
    <n v="0"/>
    <n v="0"/>
  </r>
  <r>
    <s v="ORD0012"/>
    <d v="2025-03-13T00:00:00"/>
    <s v="Jeans"/>
    <x v="2"/>
    <n v="40"/>
    <n v="4"/>
    <n v="160"/>
    <x v="6"/>
    <x v="3"/>
    <x v="2"/>
    <x v="2"/>
    <x v="0"/>
    <n v="3"/>
    <x v="0"/>
    <s v="Low (&lt;2K)"/>
    <s v="Medium (3-4)"/>
    <n v="1"/>
    <n v="0"/>
    <n v="0"/>
  </r>
  <r>
    <s v="ORD0013"/>
    <d v="2025-03-01T00:00:00"/>
    <s v="Laptop"/>
    <x v="1"/>
    <n v="800"/>
    <n v="2"/>
    <n v="1600"/>
    <x v="7"/>
    <x v="1"/>
    <x v="4"/>
    <x v="1"/>
    <x v="0"/>
    <n v="3"/>
    <x v="0"/>
    <s v="Low (&lt;2K)"/>
    <s v="Small (1-2)"/>
    <n v="0"/>
    <n v="0"/>
    <n v="0"/>
  </r>
  <r>
    <s v="ORD0014"/>
    <d v="2025-03-04T00:00:00"/>
    <s v="Washing Machine"/>
    <x v="4"/>
    <n v="600"/>
    <n v="3"/>
    <n v="1800"/>
    <x v="6"/>
    <x v="5"/>
    <x v="2"/>
    <x v="0"/>
    <x v="0"/>
    <n v="3"/>
    <x v="0"/>
    <s v="Low (&lt;2K)"/>
    <s v="Medium (3-4)"/>
    <n v="0"/>
    <n v="1"/>
    <n v="1800"/>
  </r>
  <r>
    <s v="ORD0015"/>
    <d v="2025-02-20T00:00:00"/>
    <s v="Smartwatch"/>
    <x v="1"/>
    <n v="150"/>
    <n v="4"/>
    <n v="600"/>
    <x v="2"/>
    <x v="7"/>
    <x v="2"/>
    <x v="2"/>
    <x v="1"/>
    <n v="2"/>
    <x v="0"/>
    <s v="Low (&lt;2K)"/>
    <s v="Medium (3-4)"/>
    <n v="1"/>
    <n v="0"/>
    <n v="0"/>
  </r>
  <r>
    <s v="ORD0016"/>
    <d v="2025-02-26T00:00:00"/>
    <s v="Refrigerator"/>
    <x v="4"/>
    <n v="1200"/>
    <n v="1"/>
    <n v="1200"/>
    <x v="2"/>
    <x v="6"/>
    <x v="2"/>
    <x v="0"/>
    <x v="1"/>
    <n v="2"/>
    <x v="0"/>
    <s v="Low (&lt;2K)"/>
    <s v="Small (1-2)"/>
    <n v="0"/>
    <n v="1"/>
    <n v="1200"/>
  </r>
  <r>
    <s v="ORD0017"/>
    <d v="2025-04-01T00:00:00"/>
    <s v="T-Shirt"/>
    <x v="2"/>
    <n v="20"/>
    <n v="1"/>
    <n v="20"/>
    <x v="0"/>
    <x v="0"/>
    <x v="1"/>
    <x v="2"/>
    <x v="2"/>
    <n v="4"/>
    <x v="1"/>
    <s v="Low (&lt;2K)"/>
    <s v="Small (1-2)"/>
    <n v="1"/>
    <n v="0"/>
    <n v="0"/>
  </r>
  <r>
    <s v="ORD0018"/>
    <d v="2025-02-10T00:00:00"/>
    <s v="Smartphone"/>
    <x v="1"/>
    <n v="500"/>
    <n v="2"/>
    <n v="1000"/>
    <x v="6"/>
    <x v="8"/>
    <x v="1"/>
    <x v="2"/>
    <x v="1"/>
    <n v="2"/>
    <x v="0"/>
    <s v="Low (&lt;2K)"/>
    <s v="Small (1-2)"/>
    <n v="1"/>
    <n v="0"/>
    <n v="0"/>
  </r>
  <r>
    <s v="ORD0019"/>
    <d v="2025-03-22T00:00:00"/>
    <s v="Running Shoes"/>
    <x v="0"/>
    <n v="60"/>
    <n v="3"/>
    <n v="180"/>
    <x v="3"/>
    <x v="4"/>
    <x v="2"/>
    <x v="2"/>
    <x v="0"/>
    <n v="3"/>
    <x v="0"/>
    <s v="Low (&lt;2K)"/>
    <s v="Medium (3-4)"/>
    <n v="1"/>
    <n v="0"/>
    <n v="0"/>
  </r>
  <r>
    <s v="ORD0020"/>
    <d v="2025-03-07T00:00:00"/>
    <s v="Headphones"/>
    <x v="1"/>
    <n v="100"/>
    <n v="4"/>
    <n v="400"/>
    <x v="3"/>
    <x v="7"/>
    <x v="0"/>
    <x v="1"/>
    <x v="0"/>
    <n v="3"/>
    <x v="0"/>
    <s v="Low (&lt;2K)"/>
    <s v="Medium (3-4)"/>
    <n v="0"/>
    <n v="0"/>
    <n v="0"/>
  </r>
  <r>
    <s v="ORD0021"/>
    <d v="2025-02-05T00:00:00"/>
    <s v="Headphones"/>
    <x v="1"/>
    <n v="100"/>
    <n v="3"/>
    <n v="300"/>
    <x v="8"/>
    <x v="5"/>
    <x v="0"/>
    <x v="0"/>
    <x v="1"/>
    <n v="2"/>
    <x v="0"/>
    <s v="Low (&lt;2K)"/>
    <s v="Medium (3-4)"/>
    <n v="0"/>
    <n v="1"/>
    <n v="300"/>
  </r>
  <r>
    <s v="ORD0022"/>
    <d v="2025-03-07T00:00:00"/>
    <s v="Refrigerator"/>
    <x v="4"/>
    <n v="1200"/>
    <n v="4"/>
    <n v="4800"/>
    <x v="3"/>
    <x v="4"/>
    <x v="2"/>
    <x v="1"/>
    <x v="0"/>
    <n v="3"/>
    <x v="0"/>
    <s v="Mid (2K-5K)"/>
    <s v="Medium (3-4)"/>
    <n v="0"/>
    <n v="0"/>
    <n v="0"/>
  </r>
  <r>
    <s v="ORD0023"/>
    <d v="2025-02-23T00:00:00"/>
    <s v="Book"/>
    <x v="3"/>
    <n v="15"/>
    <n v="1"/>
    <n v="15"/>
    <x v="0"/>
    <x v="4"/>
    <x v="2"/>
    <x v="1"/>
    <x v="1"/>
    <n v="2"/>
    <x v="0"/>
    <s v="Low (&lt;2K)"/>
    <s v="Small (1-2)"/>
    <n v="0"/>
    <n v="0"/>
    <n v="0"/>
  </r>
  <r>
    <s v="ORD0024"/>
    <d v="2025-03-24T00:00:00"/>
    <s v="Refrigerator"/>
    <x v="4"/>
    <n v="1200"/>
    <n v="3"/>
    <n v="3600"/>
    <x v="8"/>
    <x v="3"/>
    <x v="2"/>
    <x v="0"/>
    <x v="0"/>
    <n v="3"/>
    <x v="0"/>
    <s v="Mid (2K-5K)"/>
    <s v="Medium (3-4)"/>
    <n v="0"/>
    <n v="1"/>
    <n v="3600"/>
  </r>
  <r>
    <s v="ORD0025"/>
    <d v="2025-03-02T00:00:00"/>
    <s v="Book"/>
    <x v="3"/>
    <n v="15"/>
    <n v="5"/>
    <n v="75"/>
    <x v="4"/>
    <x v="7"/>
    <x v="1"/>
    <x v="2"/>
    <x v="0"/>
    <n v="3"/>
    <x v="0"/>
    <s v="Low (&lt;2K)"/>
    <s v="Bulk (5+)"/>
    <n v="1"/>
    <n v="0"/>
    <n v="0"/>
  </r>
  <r>
    <s v="ORD0026"/>
    <d v="2025-02-14T00:00:00"/>
    <s v="Washing Machine"/>
    <x v="4"/>
    <n v="600"/>
    <n v="1"/>
    <n v="600"/>
    <x v="3"/>
    <x v="6"/>
    <x v="0"/>
    <x v="0"/>
    <x v="1"/>
    <n v="2"/>
    <x v="0"/>
    <s v="Low (&lt;2K)"/>
    <s v="Small (1-2)"/>
    <n v="0"/>
    <n v="1"/>
    <n v="600"/>
  </r>
  <r>
    <s v="ORD0027"/>
    <d v="2025-02-07T00:00:00"/>
    <s v="T-Shirt"/>
    <x v="2"/>
    <n v="20"/>
    <n v="1"/>
    <n v="20"/>
    <x v="7"/>
    <x v="0"/>
    <x v="1"/>
    <x v="1"/>
    <x v="1"/>
    <n v="2"/>
    <x v="0"/>
    <s v="Low (&lt;2K)"/>
    <s v="Small (1-2)"/>
    <n v="0"/>
    <n v="0"/>
    <n v="0"/>
  </r>
  <r>
    <s v="ORD0028"/>
    <d v="2025-02-03T00:00:00"/>
    <s v="Headphones"/>
    <x v="1"/>
    <n v="100"/>
    <n v="1"/>
    <n v="100"/>
    <x v="9"/>
    <x v="9"/>
    <x v="1"/>
    <x v="2"/>
    <x v="1"/>
    <n v="2"/>
    <x v="0"/>
    <s v="Low (&lt;2K)"/>
    <s v="Small (1-2)"/>
    <n v="1"/>
    <n v="0"/>
    <n v="0"/>
  </r>
  <r>
    <s v="ORD0029"/>
    <d v="2025-02-12T00:00:00"/>
    <s v="Smartphone"/>
    <x v="1"/>
    <n v="500"/>
    <n v="1"/>
    <n v="500"/>
    <x v="4"/>
    <x v="2"/>
    <x v="2"/>
    <x v="0"/>
    <x v="1"/>
    <n v="2"/>
    <x v="0"/>
    <s v="Low (&lt;2K)"/>
    <s v="Small (1-2)"/>
    <n v="0"/>
    <n v="1"/>
    <n v="500"/>
  </r>
  <r>
    <s v="ORD0030"/>
    <d v="2025-02-10T00:00:00"/>
    <s v="Washing Machine"/>
    <x v="4"/>
    <n v="600"/>
    <n v="3"/>
    <n v="1800"/>
    <x v="1"/>
    <x v="3"/>
    <x v="4"/>
    <x v="0"/>
    <x v="1"/>
    <n v="2"/>
    <x v="0"/>
    <s v="Low (&lt;2K)"/>
    <s v="Medium (3-4)"/>
    <n v="0"/>
    <n v="1"/>
    <n v="1800"/>
  </r>
  <r>
    <s v="ORD0031"/>
    <d v="2025-03-24T00:00:00"/>
    <s v="Smartphone"/>
    <x v="1"/>
    <n v="500"/>
    <n v="1"/>
    <n v="500"/>
    <x v="2"/>
    <x v="4"/>
    <x v="4"/>
    <x v="1"/>
    <x v="0"/>
    <n v="3"/>
    <x v="0"/>
    <s v="Low (&lt;2K)"/>
    <s v="Small (1-2)"/>
    <n v="0"/>
    <n v="0"/>
    <n v="0"/>
  </r>
  <r>
    <s v="ORD0032"/>
    <d v="2025-03-10T00:00:00"/>
    <s v="Smartphone"/>
    <x v="1"/>
    <n v="500"/>
    <n v="4"/>
    <n v="2000"/>
    <x v="6"/>
    <x v="7"/>
    <x v="3"/>
    <x v="1"/>
    <x v="0"/>
    <n v="3"/>
    <x v="0"/>
    <s v="Mid (2K-5K)"/>
    <s v="Medium (3-4)"/>
    <n v="0"/>
    <n v="0"/>
    <n v="0"/>
  </r>
  <r>
    <s v="ORD0033"/>
    <d v="2025-02-04T00:00:00"/>
    <s v="Book"/>
    <x v="3"/>
    <n v="15"/>
    <n v="1"/>
    <n v="15"/>
    <x v="3"/>
    <x v="0"/>
    <x v="0"/>
    <x v="0"/>
    <x v="1"/>
    <n v="2"/>
    <x v="0"/>
    <s v="Low (&lt;2K)"/>
    <s v="Small (1-2)"/>
    <n v="0"/>
    <n v="1"/>
    <n v="15"/>
  </r>
  <r>
    <s v="ORD0034"/>
    <d v="2025-04-02T00:00:00"/>
    <s v="T-Shirt"/>
    <x v="2"/>
    <n v="20"/>
    <n v="5"/>
    <n v="100"/>
    <x v="9"/>
    <x v="0"/>
    <x v="2"/>
    <x v="1"/>
    <x v="2"/>
    <n v="4"/>
    <x v="1"/>
    <s v="Low (&lt;2K)"/>
    <s v="Bulk (5+)"/>
    <n v="0"/>
    <n v="0"/>
    <n v="0"/>
  </r>
  <r>
    <s v="ORD0035"/>
    <d v="2025-04-02T00:00:00"/>
    <s v="Laptop"/>
    <x v="1"/>
    <n v="800"/>
    <n v="3"/>
    <n v="2400"/>
    <x v="0"/>
    <x v="2"/>
    <x v="1"/>
    <x v="2"/>
    <x v="2"/>
    <n v="4"/>
    <x v="1"/>
    <s v="Mid (2K-5K)"/>
    <s v="Medium (3-4)"/>
    <n v="1"/>
    <n v="0"/>
    <n v="0"/>
  </r>
  <r>
    <s v="ORD0036"/>
    <d v="2025-02-09T00:00:00"/>
    <s v="Refrigerator"/>
    <x v="4"/>
    <n v="1200"/>
    <n v="2"/>
    <n v="2400"/>
    <x v="4"/>
    <x v="6"/>
    <x v="3"/>
    <x v="0"/>
    <x v="1"/>
    <n v="2"/>
    <x v="0"/>
    <s v="Mid (2K-5K)"/>
    <s v="Small (1-2)"/>
    <n v="0"/>
    <n v="1"/>
    <n v="2400"/>
  </r>
  <r>
    <s v="ORD0037"/>
    <d v="2025-02-16T00:00:00"/>
    <s v="Headphones"/>
    <x v="1"/>
    <n v="100"/>
    <n v="3"/>
    <n v="300"/>
    <x v="6"/>
    <x v="0"/>
    <x v="0"/>
    <x v="0"/>
    <x v="1"/>
    <n v="2"/>
    <x v="0"/>
    <s v="Low (&lt;2K)"/>
    <s v="Medium (3-4)"/>
    <n v="0"/>
    <n v="1"/>
    <n v="300"/>
  </r>
  <r>
    <s v="ORD0038"/>
    <d v="2025-03-26T00:00:00"/>
    <s v="Laptop"/>
    <x v="1"/>
    <n v="800"/>
    <n v="3"/>
    <n v="2400"/>
    <x v="3"/>
    <x v="9"/>
    <x v="1"/>
    <x v="2"/>
    <x v="0"/>
    <n v="3"/>
    <x v="0"/>
    <s v="Mid (2K-5K)"/>
    <s v="Medium (3-4)"/>
    <n v="1"/>
    <n v="0"/>
    <n v="0"/>
  </r>
  <r>
    <s v="ORD0039"/>
    <d v="2025-03-02T00:00:00"/>
    <s v="Laptop"/>
    <x v="1"/>
    <n v="800"/>
    <n v="2"/>
    <n v="1600"/>
    <x v="3"/>
    <x v="1"/>
    <x v="3"/>
    <x v="2"/>
    <x v="0"/>
    <n v="3"/>
    <x v="0"/>
    <s v="Low (&lt;2K)"/>
    <s v="Small (1-2)"/>
    <n v="1"/>
    <n v="0"/>
    <n v="0"/>
  </r>
  <r>
    <s v="ORD0040"/>
    <d v="2025-03-26T00:00:00"/>
    <s v="Smartwatch"/>
    <x v="1"/>
    <n v="150"/>
    <n v="1"/>
    <n v="150"/>
    <x v="1"/>
    <x v="7"/>
    <x v="4"/>
    <x v="1"/>
    <x v="0"/>
    <n v="3"/>
    <x v="0"/>
    <s v="Low (&lt;2K)"/>
    <s v="Small (1-2)"/>
    <n v="0"/>
    <n v="0"/>
    <n v="0"/>
  </r>
  <r>
    <s v="ORD0041"/>
    <d v="2025-02-20T00:00:00"/>
    <s v="Book"/>
    <x v="3"/>
    <n v="15"/>
    <n v="1"/>
    <n v="15"/>
    <x v="9"/>
    <x v="5"/>
    <x v="2"/>
    <x v="0"/>
    <x v="1"/>
    <n v="2"/>
    <x v="0"/>
    <s v="Low (&lt;2K)"/>
    <s v="Small (1-2)"/>
    <n v="0"/>
    <n v="1"/>
    <n v="15"/>
  </r>
  <r>
    <s v="ORD0042"/>
    <d v="2025-03-17T00:00:00"/>
    <s v="Headphones"/>
    <x v="1"/>
    <n v="100"/>
    <n v="3"/>
    <n v="300"/>
    <x v="9"/>
    <x v="9"/>
    <x v="1"/>
    <x v="0"/>
    <x v="0"/>
    <n v="3"/>
    <x v="0"/>
    <s v="Low (&lt;2K)"/>
    <s v="Medium (3-4)"/>
    <n v="0"/>
    <n v="1"/>
    <n v="300"/>
  </r>
  <r>
    <s v="ORD0043"/>
    <d v="2025-02-08T00:00:00"/>
    <s v="T-Shirt"/>
    <x v="2"/>
    <n v="20"/>
    <n v="4"/>
    <n v="80"/>
    <x v="9"/>
    <x v="2"/>
    <x v="2"/>
    <x v="1"/>
    <x v="1"/>
    <n v="2"/>
    <x v="0"/>
    <s v="Low (&lt;2K)"/>
    <s v="Medium (3-4)"/>
    <n v="0"/>
    <n v="0"/>
    <n v="0"/>
  </r>
  <r>
    <s v="ORD0044"/>
    <d v="2025-03-24T00:00:00"/>
    <s v="Smartwatch"/>
    <x v="1"/>
    <n v="150"/>
    <n v="1"/>
    <n v="150"/>
    <x v="8"/>
    <x v="4"/>
    <x v="0"/>
    <x v="1"/>
    <x v="0"/>
    <n v="3"/>
    <x v="0"/>
    <s v="Low (&lt;2K)"/>
    <s v="Small (1-2)"/>
    <n v="0"/>
    <n v="0"/>
    <n v="0"/>
  </r>
  <r>
    <s v="ORD0045"/>
    <d v="2025-03-15T00:00:00"/>
    <s v="Refrigerator"/>
    <x v="4"/>
    <n v="1200"/>
    <n v="3"/>
    <n v="3600"/>
    <x v="7"/>
    <x v="0"/>
    <x v="2"/>
    <x v="1"/>
    <x v="0"/>
    <n v="3"/>
    <x v="0"/>
    <s v="Mid (2K-5K)"/>
    <s v="Medium (3-4)"/>
    <n v="0"/>
    <n v="0"/>
    <n v="0"/>
  </r>
  <r>
    <s v="ORD0046"/>
    <d v="2025-03-06T00:00:00"/>
    <s v="Running Shoes"/>
    <x v="0"/>
    <n v="60"/>
    <n v="2"/>
    <n v="120"/>
    <x v="5"/>
    <x v="4"/>
    <x v="0"/>
    <x v="0"/>
    <x v="0"/>
    <n v="3"/>
    <x v="0"/>
    <s v="Low (&lt;2K)"/>
    <s v="Small (1-2)"/>
    <n v="0"/>
    <n v="1"/>
    <n v="120"/>
  </r>
  <r>
    <s v="ORD0047"/>
    <d v="2025-03-26T00:00:00"/>
    <s v="T-Shirt"/>
    <x v="2"/>
    <n v="20"/>
    <n v="2"/>
    <n v="40"/>
    <x v="8"/>
    <x v="5"/>
    <x v="4"/>
    <x v="0"/>
    <x v="0"/>
    <n v="3"/>
    <x v="0"/>
    <s v="Low (&lt;2K)"/>
    <s v="Small (1-2)"/>
    <n v="0"/>
    <n v="1"/>
    <n v="40"/>
  </r>
  <r>
    <s v="ORD0048"/>
    <d v="2025-02-11T00:00:00"/>
    <s v="T-Shirt"/>
    <x v="2"/>
    <n v="20"/>
    <n v="5"/>
    <n v="100"/>
    <x v="9"/>
    <x v="2"/>
    <x v="1"/>
    <x v="2"/>
    <x v="1"/>
    <n v="2"/>
    <x v="0"/>
    <s v="Low (&lt;2K)"/>
    <s v="Bulk (5+)"/>
    <n v="1"/>
    <n v="0"/>
    <n v="0"/>
  </r>
  <r>
    <s v="ORD0049"/>
    <d v="2025-02-18T00:00:00"/>
    <s v="Smartphone"/>
    <x v="1"/>
    <n v="500"/>
    <n v="4"/>
    <n v="2000"/>
    <x v="0"/>
    <x v="9"/>
    <x v="0"/>
    <x v="2"/>
    <x v="1"/>
    <n v="2"/>
    <x v="0"/>
    <s v="Mid (2K-5K)"/>
    <s v="Medium (3-4)"/>
    <n v="1"/>
    <n v="0"/>
    <n v="0"/>
  </r>
  <r>
    <s v="ORD0050"/>
    <d v="2025-03-14T00:00:00"/>
    <s v="Jeans"/>
    <x v="2"/>
    <n v="40"/>
    <n v="3"/>
    <n v="120"/>
    <x v="2"/>
    <x v="6"/>
    <x v="4"/>
    <x v="2"/>
    <x v="0"/>
    <n v="3"/>
    <x v="0"/>
    <s v="Low (&lt;2K)"/>
    <s v="Medium (3-4)"/>
    <n v="1"/>
    <n v="0"/>
    <n v="0"/>
  </r>
  <r>
    <s v="ORD0051"/>
    <d v="2025-02-19T00:00:00"/>
    <s v="Book"/>
    <x v="3"/>
    <n v="15"/>
    <n v="1"/>
    <n v="15"/>
    <x v="0"/>
    <x v="4"/>
    <x v="4"/>
    <x v="0"/>
    <x v="1"/>
    <n v="2"/>
    <x v="0"/>
    <s v="Low (&lt;2K)"/>
    <s v="Small (1-2)"/>
    <n v="0"/>
    <n v="1"/>
    <n v="15"/>
  </r>
  <r>
    <s v="ORD0052"/>
    <d v="2025-02-24T00:00:00"/>
    <s v="Laptop"/>
    <x v="1"/>
    <n v="800"/>
    <n v="3"/>
    <n v="2400"/>
    <x v="2"/>
    <x v="1"/>
    <x v="2"/>
    <x v="1"/>
    <x v="1"/>
    <n v="2"/>
    <x v="0"/>
    <s v="Mid (2K-5K)"/>
    <s v="Medium (3-4)"/>
    <n v="0"/>
    <n v="0"/>
    <n v="0"/>
  </r>
  <r>
    <s v="ORD0053"/>
    <d v="2025-03-24T00:00:00"/>
    <s v="Running Shoes"/>
    <x v="0"/>
    <n v="60"/>
    <n v="4"/>
    <n v="240"/>
    <x v="1"/>
    <x v="8"/>
    <x v="3"/>
    <x v="2"/>
    <x v="0"/>
    <n v="3"/>
    <x v="0"/>
    <s v="Low (&lt;2K)"/>
    <s v="Medium (3-4)"/>
    <n v="1"/>
    <n v="0"/>
    <n v="0"/>
  </r>
  <r>
    <s v="ORD0054"/>
    <d v="2025-03-15T00:00:00"/>
    <s v="Smartwatch"/>
    <x v="1"/>
    <n v="150"/>
    <n v="3"/>
    <n v="450"/>
    <x v="5"/>
    <x v="6"/>
    <x v="4"/>
    <x v="1"/>
    <x v="0"/>
    <n v="3"/>
    <x v="0"/>
    <s v="Low (&lt;2K)"/>
    <s v="Medium (3-4)"/>
    <n v="0"/>
    <n v="0"/>
    <n v="0"/>
  </r>
  <r>
    <s v="ORD0055"/>
    <d v="2025-03-15T00:00:00"/>
    <s v="Jeans"/>
    <x v="2"/>
    <n v="40"/>
    <n v="2"/>
    <n v="80"/>
    <x v="4"/>
    <x v="3"/>
    <x v="3"/>
    <x v="2"/>
    <x v="0"/>
    <n v="3"/>
    <x v="0"/>
    <s v="Low (&lt;2K)"/>
    <s v="Small (1-2)"/>
    <n v="1"/>
    <n v="0"/>
    <n v="0"/>
  </r>
  <r>
    <s v="ORD0056"/>
    <d v="2025-03-19T00:00:00"/>
    <s v="Smartwatch"/>
    <x v="1"/>
    <n v="150"/>
    <n v="2"/>
    <n v="300"/>
    <x v="0"/>
    <x v="3"/>
    <x v="2"/>
    <x v="2"/>
    <x v="0"/>
    <n v="3"/>
    <x v="0"/>
    <s v="Low (&lt;2K)"/>
    <s v="Small (1-2)"/>
    <n v="1"/>
    <n v="0"/>
    <n v="0"/>
  </r>
  <r>
    <s v="ORD0057"/>
    <d v="2025-03-15T00:00:00"/>
    <s v="Smartphone"/>
    <x v="1"/>
    <n v="500"/>
    <n v="1"/>
    <n v="500"/>
    <x v="9"/>
    <x v="8"/>
    <x v="0"/>
    <x v="0"/>
    <x v="0"/>
    <n v="3"/>
    <x v="0"/>
    <s v="Low (&lt;2K)"/>
    <s v="Small (1-2)"/>
    <n v="0"/>
    <n v="1"/>
    <n v="500"/>
  </r>
  <r>
    <s v="ORD0058"/>
    <d v="2025-03-13T00:00:00"/>
    <s v="Smartphone"/>
    <x v="1"/>
    <n v="500"/>
    <n v="1"/>
    <n v="500"/>
    <x v="9"/>
    <x v="9"/>
    <x v="3"/>
    <x v="0"/>
    <x v="0"/>
    <n v="3"/>
    <x v="0"/>
    <s v="Low (&lt;2K)"/>
    <s v="Small (1-2)"/>
    <n v="0"/>
    <n v="1"/>
    <n v="500"/>
  </r>
  <r>
    <s v="ORD0059"/>
    <d v="2025-04-01T00:00:00"/>
    <s v="Smartwatch"/>
    <x v="1"/>
    <n v="150"/>
    <n v="2"/>
    <n v="300"/>
    <x v="7"/>
    <x v="3"/>
    <x v="2"/>
    <x v="0"/>
    <x v="2"/>
    <n v="4"/>
    <x v="1"/>
    <s v="Low (&lt;2K)"/>
    <s v="Small (1-2)"/>
    <n v="0"/>
    <n v="1"/>
    <n v="300"/>
  </r>
  <r>
    <s v="ORD0060"/>
    <d v="2025-03-12T00:00:00"/>
    <s v="Book"/>
    <x v="3"/>
    <n v="15"/>
    <n v="5"/>
    <n v="75"/>
    <x v="9"/>
    <x v="3"/>
    <x v="2"/>
    <x v="1"/>
    <x v="0"/>
    <n v="3"/>
    <x v="0"/>
    <s v="Low (&lt;2K)"/>
    <s v="Bulk (5+)"/>
    <n v="0"/>
    <n v="0"/>
    <n v="0"/>
  </r>
  <r>
    <s v="ORD0061"/>
    <d v="2025-03-11T00:00:00"/>
    <s v="Refrigerator"/>
    <x v="4"/>
    <n v="1200"/>
    <n v="1"/>
    <n v="1200"/>
    <x v="9"/>
    <x v="0"/>
    <x v="3"/>
    <x v="0"/>
    <x v="0"/>
    <n v="3"/>
    <x v="0"/>
    <s v="Low (&lt;2K)"/>
    <s v="Small (1-2)"/>
    <n v="0"/>
    <n v="1"/>
    <n v="1200"/>
  </r>
  <r>
    <s v="ORD0062"/>
    <d v="2025-02-10T00:00:00"/>
    <s v="Laptop"/>
    <x v="1"/>
    <n v="800"/>
    <n v="5"/>
    <n v="4000"/>
    <x v="3"/>
    <x v="1"/>
    <x v="3"/>
    <x v="2"/>
    <x v="1"/>
    <n v="2"/>
    <x v="0"/>
    <s v="Mid (2K-5K)"/>
    <s v="Bulk (5+)"/>
    <n v="1"/>
    <n v="0"/>
    <n v="0"/>
  </r>
  <r>
    <s v="ORD0063"/>
    <d v="2025-03-30T00:00:00"/>
    <s v="Smartphone"/>
    <x v="1"/>
    <n v="500"/>
    <n v="5"/>
    <n v="2500"/>
    <x v="0"/>
    <x v="5"/>
    <x v="4"/>
    <x v="2"/>
    <x v="0"/>
    <n v="3"/>
    <x v="0"/>
    <s v="Mid (2K-5K)"/>
    <s v="Bulk (5+)"/>
    <n v="1"/>
    <n v="0"/>
    <n v="0"/>
  </r>
  <r>
    <s v="ORD0064"/>
    <d v="2025-02-13T00:00:00"/>
    <s v="Refrigerator"/>
    <x v="4"/>
    <n v="1200"/>
    <n v="4"/>
    <n v="4800"/>
    <x v="1"/>
    <x v="2"/>
    <x v="3"/>
    <x v="1"/>
    <x v="1"/>
    <n v="2"/>
    <x v="0"/>
    <s v="Mid (2K-5K)"/>
    <s v="Medium (3-4)"/>
    <n v="0"/>
    <n v="0"/>
    <n v="0"/>
  </r>
  <r>
    <s v="ORD0065"/>
    <d v="2025-03-16T00:00:00"/>
    <s v="Book"/>
    <x v="3"/>
    <n v="15"/>
    <n v="3"/>
    <n v="45"/>
    <x v="0"/>
    <x v="1"/>
    <x v="1"/>
    <x v="1"/>
    <x v="0"/>
    <n v="3"/>
    <x v="0"/>
    <s v="Low (&lt;2K)"/>
    <s v="Medium (3-4)"/>
    <n v="0"/>
    <n v="0"/>
    <n v="0"/>
  </r>
  <r>
    <s v="ORD0066"/>
    <d v="2025-03-14T00:00:00"/>
    <s v="Smartwatch"/>
    <x v="1"/>
    <n v="150"/>
    <n v="2"/>
    <n v="300"/>
    <x v="6"/>
    <x v="2"/>
    <x v="3"/>
    <x v="1"/>
    <x v="0"/>
    <n v="3"/>
    <x v="0"/>
    <s v="Low (&lt;2K)"/>
    <s v="Small (1-2)"/>
    <n v="0"/>
    <n v="0"/>
    <n v="0"/>
  </r>
  <r>
    <s v="ORD0067"/>
    <d v="2025-03-31T00:00:00"/>
    <s v="Headphones"/>
    <x v="1"/>
    <n v="100"/>
    <n v="3"/>
    <n v="300"/>
    <x v="8"/>
    <x v="0"/>
    <x v="0"/>
    <x v="1"/>
    <x v="0"/>
    <n v="3"/>
    <x v="0"/>
    <s v="Low (&lt;2K)"/>
    <s v="Medium (3-4)"/>
    <n v="0"/>
    <n v="0"/>
    <n v="0"/>
  </r>
  <r>
    <s v="ORD0068"/>
    <d v="2025-02-23T00:00:00"/>
    <s v="Headphones"/>
    <x v="1"/>
    <n v="100"/>
    <n v="1"/>
    <n v="100"/>
    <x v="5"/>
    <x v="4"/>
    <x v="0"/>
    <x v="0"/>
    <x v="1"/>
    <n v="2"/>
    <x v="0"/>
    <s v="Low (&lt;2K)"/>
    <s v="Small (1-2)"/>
    <n v="0"/>
    <n v="1"/>
    <n v="100"/>
  </r>
  <r>
    <s v="ORD0069"/>
    <d v="2025-02-25T00:00:00"/>
    <s v="Refrigerator"/>
    <x v="4"/>
    <n v="1200"/>
    <n v="4"/>
    <n v="4800"/>
    <x v="5"/>
    <x v="6"/>
    <x v="4"/>
    <x v="1"/>
    <x v="1"/>
    <n v="2"/>
    <x v="0"/>
    <s v="Mid (2K-5K)"/>
    <s v="Medium (3-4)"/>
    <n v="0"/>
    <n v="0"/>
    <n v="0"/>
  </r>
  <r>
    <s v="ORD0070"/>
    <d v="2025-03-10T00:00:00"/>
    <s v="Book"/>
    <x v="3"/>
    <n v="15"/>
    <n v="1"/>
    <n v="15"/>
    <x v="1"/>
    <x v="6"/>
    <x v="2"/>
    <x v="2"/>
    <x v="0"/>
    <n v="3"/>
    <x v="0"/>
    <s v="Low (&lt;2K)"/>
    <s v="Small (1-2)"/>
    <n v="1"/>
    <n v="0"/>
    <n v="0"/>
  </r>
  <r>
    <s v="ORD0071"/>
    <d v="2025-03-16T00:00:00"/>
    <s v="Smartwatch"/>
    <x v="1"/>
    <n v="150"/>
    <n v="5"/>
    <n v="750"/>
    <x v="2"/>
    <x v="2"/>
    <x v="2"/>
    <x v="1"/>
    <x v="0"/>
    <n v="3"/>
    <x v="0"/>
    <s v="Low (&lt;2K)"/>
    <s v="Bulk (5+)"/>
    <n v="0"/>
    <n v="0"/>
    <n v="0"/>
  </r>
  <r>
    <s v="ORD0072"/>
    <d v="2025-03-07T00:00:00"/>
    <s v="Laptop"/>
    <x v="1"/>
    <n v="800"/>
    <n v="3"/>
    <n v="2400"/>
    <x v="7"/>
    <x v="4"/>
    <x v="2"/>
    <x v="1"/>
    <x v="0"/>
    <n v="3"/>
    <x v="0"/>
    <s v="Mid (2K-5K)"/>
    <s v="Medium (3-4)"/>
    <n v="0"/>
    <n v="0"/>
    <n v="0"/>
  </r>
  <r>
    <s v="ORD0073"/>
    <d v="2025-02-20T00:00:00"/>
    <s v="Smartphone"/>
    <x v="1"/>
    <n v="500"/>
    <n v="5"/>
    <n v="2500"/>
    <x v="1"/>
    <x v="5"/>
    <x v="2"/>
    <x v="0"/>
    <x v="1"/>
    <n v="2"/>
    <x v="0"/>
    <s v="Mid (2K-5K)"/>
    <s v="Bulk (5+)"/>
    <n v="0"/>
    <n v="1"/>
    <n v="2500"/>
  </r>
  <r>
    <s v="ORD0074"/>
    <d v="2025-03-25T00:00:00"/>
    <s v="Refrigerator"/>
    <x v="4"/>
    <n v="1200"/>
    <n v="4"/>
    <n v="4800"/>
    <x v="9"/>
    <x v="3"/>
    <x v="4"/>
    <x v="0"/>
    <x v="0"/>
    <n v="3"/>
    <x v="0"/>
    <s v="Mid (2K-5K)"/>
    <s v="Medium (3-4)"/>
    <n v="0"/>
    <n v="1"/>
    <n v="4800"/>
  </r>
  <r>
    <s v="ORD0075"/>
    <d v="2025-02-26T00:00:00"/>
    <s v="Headphones"/>
    <x v="1"/>
    <n v="100"/>
    <n v="2"/>
    <n v="200"/>
    <x v="7"/>
    <x v="6"/>
    <x v="3"/>
    <x v="1"/>
    <x v="1"/>
    <n v="2"/>
    <x v="0"/>
    <s v="Low (&lt;2K)"/>
    <s v="Small (1-2)"/>
    <n v="0"/>
    <n v="0"/>
    <n v="0"/>
  </r>
  <r>
    <s v="ORD0076"/>
    <d v="2025-02-24T00:00:00"/>
    <s v="Washing Machine"/>
    <x v="4"/>
    <n v="600"/>
    <n v="1"/>
    <n v="600"/>
    <x v="9"/>
    <x v="3"/>
    <x v="1"/>
    <x v="2"/>
    <x v="1"/>
    <n v="2"/>
    <x v="0"/>
    <s v="Low (&lt;2K)"/>
    <s v="Small (1-2)"/>
    <n v="1"/>
    <n v="0"/>
    <n v="0"/>
  </r>
  <r>
    <s v="ORD0077"/>
    <d v="2025-03-20T00:00:00"/>
    <s v="Headphones"/>
    <x v="1"/>
    <n v="100"/>
    <n v="2"/>
    <n v="200"/>
    <x v="7"/>
    <x v="4"/>
    <x v="2"/>
    <x v="2"/>
    <x v="0"/>
    <n v="3"/>
    <x v="0"/>
    <s v="Low (&lt;2K)"/>
    <s v="Small (1-2)"/>
    <n v="1"/>
    <n v="0"/>
    <n v="0"/>
  </r>
  <r>
    <s v="ORD0078"/>
    <d v="2025-03-18T00:00:00"/>
    <s v="Smartwatch"/>
    <x v="1"/>
    <n v="150"/>
    <n v="2"/>
    <n v="300"/>
    <x v="0"/>
    <x v="8"/>
    <x v="4"/>
    <x v="0"/>
    <x v="0"/>
    <n v="3"/>
    <x v="0"/>
    <s v="Low (&lt;2K)"/>
    <s v="Small (1-2)"/>
    <n v="0"/>
    <n v="1"/>
    <n v="300"/>
  </r>
  <r>
    <s v="ORD0079"/>
    <d v="2025-03-09T00:00:00"/>
    <s v="Running Shoes"/>
    <x v="0"/>
    <n v="60"/>
    <n v="2"/>
    <n v="120"/>
    <x v="1"/>
    <x v="2"/>
    <x v="4"/>
    <x v="0"/>
    <x v="0"/>
    <n v="3"/>
    <x v="0"/>
    <s v="Low (&lt;2K)"/>
    <s v="Small (1-2)"/>
    <n v="0"/>
    <n v="1"/>
    <n v="120"/>
  </r>
  <r>
    <s v="ORD0080"/>
    <d v="2025-02-23T00:00:00"/>
    <s v="Running Shoes"/>
    <x v="0"/>
    <n v="60"/>
    <n v="4"/>
    <n v="240"/>
    <x v="4"/>
    <x v="1"/>
    <x v="0"/>
    <x v="1"/>
    <x v="1"/>
    <n v="2"/>
    <x v="0"/>
    <s v="Low (&lt;2K)"/>
    <s v="Medium (3-4)"/>
    <n v="0"/>
    <n v="0"/>
    <n v="0"/>
  </r>
  <r>
    <s v="ORD0081"/>
    <d v="2025-02-26T00:00:00"/>
    <s v="Headphones"/>
    <x v="1"/>
    <n v="100"/>
    <n v="3"/>
    <n v="300"/>
    <x v="6"/>
    <x v="9"/>
    <x v="3"/>
    <x v="0"/>
    <x v="1"/>
    <n v="2"/>
    <x v="0"/>
    <s v="Low (&lt;2K)"/>
    <s v="Medium (3-4)"/>
    <n v="0"/>
    <n v="1"/>
    <n v="300"/>
  </r>
  <r>
    <s v="ORD0082"/>
    <d v="2025-02-24T00:00:00"/>
    <s v="Smartphone"/>
    <x v="1"/>
    <n v="500"/>
    <n v="3"/>
    <n v="1500"/>
    <x v="9"/>
    <x v="7"/>
    <x v="0"/>
    <x v="0"/>
    <x v="1"/>
    <n v="2"/>
    <x v="0"/>
    <s v="Low (&lt;2K)"/>
    <s v="Medium (3-4)"/>
    <n v="0"/>
    <n v="1"/>
    <n v="1500"/>
  </r>
  <r>
    <s v="ORD0083"/>
    <d v="2025-02-28T00:00:00"/>
    <s v="Washing Machine"/>
    <x v="4"/>
    <n v="600"/>
    <n v="4"/>
    <n v="2400"/>
    <x v="0"/>
    <x v="4"/>
    <x v="4"/>
    <x v="0"/>
    <x v="1"/>
    <n v="2"/>
    <x v="0"/>
    <s v="Mid (2K-5K)"/>
    <s v="Medium (3-4)"/>
    <n v="0"/>
    <n v="1"/>
    <n v="2400"/>
  </r>
  <r>
    <s v="ORD0084"/>
    <d v="2025-02-14T00:00:00"/>
    <s v="T-Shirt"/>
    <x v="2"/>
    <n v="20"/>
    <n v="5"/>
    <n v="100"/>
    <x v="3"/>
    <x v="6"/>
    <x v="3"/>
    <x v="2"/>
    <x v="1"/>
    <n v="2"/>
    <x v="0"/>
    <s v="Low (&lt;2K)"/>
    <s v="Bulk (5+)"/>
    <n v="1"/>
    <n v="0"/>
    <n v="0"/>
  </r>
  <r>
    <s v="ORD0085"/>
    <d v="2025-02-06T00:00:00"/>
    <s v="Smartphone"/>
    <x v="1"/>
    <n v="500"/>
    <n v="5"/>
    <n v="2500"/>
    <x v="6"/>
    <x v="4"/>
    <x v="3"/>
    <x v="2"/>
    <x v="1"/>
    <n v="2"/>
    <x v="0"/>
    <s v="Mid (2K-5K)"/>
    <s v="Bulk (5+)"/>
    <n v="1"/>
    <n v="0"/>
    <n v="0"/>
  </r>
  <r>
    <s v="ORD0086"/>
    <d v="2025-02-25T00:00:00"/>
    <s v="Smartwatch"/>
    <x v="1"/>
    <n v="150"/>
    <n v="5"/>
    <n v="750"/>
    <x v="9"/>
    <x v="3"/>
    <x v="3"/>
    <x v="0"/>
    <x v="1"/>
    <n v="2"/>
    <x v="0"/>
    <s v="Low (&lt;2K)"/>
    <s v="Bulk (5+)"/>
    <n v="0"/>
    <n v="1"/>
    <n v="750"/>
  </r>
  <r>
    <s v="ORD0087"/>
    <d v="2025-03-13T00:00:00"/>
    <s v="Running Shoes"/>
    <x v="0"/>
    <n v="60"/>
    <n v="5"/>
    <n v="300"/>
    <x v="0"/>
    <x v="5"/>
    <x v="0"/>
    <x v="2"/>
    <x v="0"/>
    <n v="3"/>
    <x v="0"/>
    <s v="Low (&lt;2K)"/>
    <s v="Bulk (5+)"/>
    <n v="1"/>
    <n v="0"/>
    <n v="0"/>
  </r>
  <r>
    <s v="ORD0088"/>
    <d v="2025-02-06T00:00:00"/>
    <s v="Refrigerator"/>
    <x v="4"/>
    <n v="1200"/>
    <n v="2"/>
    <n v="2400"/>
    <x v="8"/>
    <x v="7"/>
    <x v="0"/>
    <x v="1"/>
    <x v="1"/>
    <n v="2"/>
    <x v="0"/>
    <s v="Mid (2K-5K)"/>
    <s v="Small (1-2)"/>
    <n v="0"/>
    <n v="0"/>
    <n v="0"/>
  </r>
  <r>
    <s v="ORD0089"/>
    <d v="2025-03-26T00:00:00"/>
    <s v="Running Shoes"/>
    <x v="0"/>
    <n v="60"/>
    <n v="5"/>
    <n v="300"/>
    <x v="0"/>
    <x v="8"/>
    <x v="2"/>
    <x v="0"/>
    <x v="0"/>
    <n v="3"/>
    <x v="0"/>
    <s v="Low (&lt;2K)"/>
    <s v="Bulk (5+)"/>
    <n v="0"/>
    <n v="1"/>
    <n v="300"/>
  </r>
  <r>
    <s v="ORD0090"/>
    <d v="2025-03-24T00:00:00"/>
    <s v="Smartwatch"/>
    <x v="1"/>
    <n v="150"/>
    <n v="5"/>
    <n v="750"/>
    <x v="1"/>
    <x v="4"/>
    <x v="1"/>
    <x v="2"/>
    <x v="0"/>
    <n v="3"/>
    <x v="0"/>
    <s v="Low (&lt;2K)"/>
    <s v="Bulk (5+)"/>
    <n v="1"/>
    <n v="0"/>
    <n v="0"/>
  </r>
  <r>
    <s v="ORD0091"/>
    <d v="2025-02-03T00:00:00"/>
    <s v="Laptop"/>
    <x v="1"/>
    <n v="800"/>
    <n v="4"/>
    <n v="3200"/>
    <x v="7"/>
    <x v="4"/>
    <x v="4"/>
    <x v="1"/>
    <x v="1"/>
    <n v="2"/>
    <x v="0"/>
    <s v="Mid (2K-5K)"/>
    <s v="Medium (3-4)"/>
    <n v="0"/>
    <n v="0"/>
    <n v="0"/>
  </r>
  <r>
    <s v="ORD0092"/>
    <d v="2025-03-15T00:00:00"/>
    <s v="Smartphone"/>
    <x v="1"/>
    <n v="500"/>
    <n v="2"/>
    <n v="1000"/>
    <x v="3"/>
    <x v="6"/>
    <x v="3"/>
    <x v="0"/>
    <x v="0"/>
    <n v="3"/>
    <x v="0"/>
    <s v="Low (&lt;2K)"/>
    <s v="Small (1-2)"/>
    <n v="0"/>
    <n v="1"/>
    <n v="1000"/>
  </r>
  <r>
    <s v="ORD0093"/>
    <d v="2025-03-06T00:00:00"/>
    <s v="Refrigerator"/>
    <x v="4"/>
    <n v="1200"/>
    <n v="5"/>
    <n v="6000"/>
    <x v="5"/>
    <x v="2"/>
    <x v="3"/>
    <x v="0"/>
    <x v="0"/>
    <n v="3"/>
    <x v="0"/>
    <s v="High (≥5K)"/>
    <s v="Bulk (5+)"/>
    <n v="0"/>
    <n v="1"/>
    <n v="6000"/>
  </r>
  <r>
    <s v="ORD0094"/>
    <d v="2025-03-25T00:00:00"/>
    <s v="Jeans"/>
    <x v="2"/>
    <n v="40"/>
    <n v="5"/>
    <n v="200"/>
    <x v="7"/>
    <x v="7"/>
    <x v="2"/>
    <x v="0"/>
    <x v="0"/>
    <n v="3"/>
    <x v="0"/>
    <s v="Low (&lt;2K)"/>
    <s v="Bulk (5+)"/>
    <n v="0"/>
    <n v="1"/>
    <n v="200"/>
  </r>
  <r>
    <s v="ORD0095"/>
    <d v="2025-02-17T00:00:00"/>
    <s v="Smartwatch"/>
    <x v="1"/>
    <n v="150"/>
    <n v="4"/>
    <n v="600"/>
    <x v="8"/>
    <x v="0"/>
    <x v="0"/>
    <x v="0"/>
    <x v="1"/>
    <n v="2"/>
    <x v="0"/>
    <s v="Low (&lt;2K)"/>
    <s v="Medium (3-4)"/>
    <n v="0"/>
    <n v="1"/>
    <n v="600"/>
  </r>
  <r>
    <s v="ORD0096"/>
    <d v="2025-03-30T00:00:00"/>
    <s v="Smartwatch"/>
    <x v="1"/>
    <n v="150"/>
    <n v="3"/>
    <n v="450"/>
    <x v="9"/>
    <x v="0"/>
    <x v="1"/>
    <x v="2"/>
    <x v="0"/>
    <n v="3"/>
    <x v="0"/>
    <s v="Low (&lt;2K)"/>
    <s v="Medium (3-4)"/>
    <n v="1"/>
    <n v="0"/>
    <n v="0"/>
  </r>
  <r>
    <s v="ORD0097"/>
    <d v="2025-03-25T00:00:00"/>
    <s v="Book"/>
    <x v="3"/>
    <n v="15"/>
    <n v="5"/>
    <n v="75"/>
    <x v="3"/>
    <x v="9"/>
    <x v="1"/>
    <x v="1"/>
    <x v="0"/>
    <n v="3"/>
    <x v="0"/>
    <s v="Low (&lt;2K)"/>
    <s v="Bulk (5+)"/>
    <n v="0"/>
    <n v="0"/>
    <n v="0"/>
  </r>
  <r>
    <s v="ORD0098"/>
    <d v="2025-02-14T00:00:00"/>
    <s v="Smartwatch"/>
    <x v="1"/>
    <n v="150"/>
    <n v="2"/>
    <n v="300"/>
    <x v="8"/>
    <x v="5"/>
    <x v="3"/>
    <x v="1"/>
    <x v="1"/>
    <n v="2"/>
    <x v="0"/>
    <s v="Low (&lt;2K)"/>
    <s v="Small (1-2)"/>
    <n v="0"/>
    <n v="0"/>
    <n v="0"/>
  </r>
  <r>
    <s v="ORD0099"/>
    <d v="2025-02-18T00:00:00"/>
    <s v="Washing Machine"/>
    <x v="4"/>
    <n v="600"/>
    <n v="5"/>
    <n v="3000"/>
    <x v="6"/>
    <x v="7"/>
    <x v="0"/>
    <x v="2"/>
    <x v="1"/>
    <n v="2"/>
    <x v="0"/>
    <s v="Mid (2K-5K)"/>
    <s v="Bulk (5+)"/>
    <n v="1"/>
    <n v="0"/>
    <n v="0"/>
  </r>
  <r>
    <s v="ORD0100"/>
    <d v="2025-02-13T00:00:00"/>
    <s v="Running Shoes"/>
    <x v="0"/>
    <n v="60"/>
    <n v="1"/>
    <n v="60"/>
    <x v="9"/>
    <x v="4"/>
    <x v="4"/>
    <x v="0"/>
    <x v="1"/>
    <n v="2"/>
    <x v="0"/>
    <s v="Low (&lt;2K)"/>
    <s v="Small (1-2)"/>
    <n v="0"/>
    <n v="1"/>
    <n v="60"/>
  </r>
  <r>
    <s v="ORD0101"/>
    <d v="2025-02-20T00:00:00"/>
    <s v="Book"/>
    <x v="3"/>
    <n v="15"/>
    <n v="5"/>
    <n v="75"/>
    <x v="2"/>
    <x v="2"/>
    <x v="3"/>
    <x v="1"/>
    <x v="1"/>
    <n v="2"/>
    <x v="0"/>
    <s v="Low (&lt;2K)"/>
    <s v="Bulk (5+)"/>
    <n v="0"/>
    <n v="0"/>
    <n v="0"/>
  </r>
  <r>
    <s v="ORD0102"/>
    <d v="2025-02-28T00:00:00"/>
    <s v="Smartphone"/>
    <x v="1"/>
    <n v="500"/>
    <n v="2"/>
    <n v="1000"/>
    <x v="5"/>
    <x v="6"/>
    <x v="3"/>
    <x v="1"/>
    <x v="1"/>
    <n v="2"/>
    <x v="0"/>
    <s v="Low (&lt;2K)"/>
    <s v="Small (1-2)"/>
    <n v="0"/>
    <n v="0"/>
    <n v="0"/>
  </r>
  <r>
    <s v="ORD0103"/>
    <d v="2025-03-14T00:00:00"/>
    <s v="T-Shirt"/>
    <x v="2"/>
    <n v="20"/>
    <n v="2"/>
    <n v="40"/>
    <x v="6"/>
    <x v="9"/>
    <x v="3"/>
    <x v="1"/>
    <x v="0"/>
    <n v="3"/>
    <x v="0"/>
    <s v="Low (&lt;2K)"/>
    <s v="Small (1-2)"/>
    <n v="0"/>
    <n v="0"/>
    <n v="0"/>
  </r>
  <r>
    <s v="ORD0104"/>
    <d v="2025-02-22T00:00:00"/>
    <s v="Jeans"/>
    <x v="2"/>
    <n v="40"/>
    <n v="5"/>
    <n v="200"/>
    <x v="9"/>
    <x v="3"/>
    <x v="0"/>
    <x v="1"/>
    <x v="1"/>
    <n v="2"/>
    <x v="0"/>
    <s v="Low (&lt;2K)"/>
    <s v="Bulk (5+)"/>
    <n v="0"/>
    <n v="0"/>
    <n v="0"/>
  </r>
  <r>
    <s v="ORD0105"/>
    <d v="2025-03-16T00:00:00"/>
    <s v="Jeans"/>
    <x v="2"/>
    <n v="40"/>
    <n v="1"/>
    <n v="40"/>
    <x v="9"/>
    <x v="6"/>
    <x v="0"/>
    <x v="1"/>
    <x v="0"/>
    <n v="3"/>
    <x v="0"/>
    <s v="Low (&lt;2K)"/>
    <s v="Small (1-2)"/>
    <n v="0"/>
    <n v="0"/>
    <n v="0"/>
  </r>
  <r>
    <s v="ORD0106"/>
    <d v="2025-03-15T00:00:00"/>
    <s v="T-Shirt"/>
    <x v="2"/>
    <n v="20"/>
    <n v="3"/>
    <n v="60"/>
    <x v="3"/>
    <x v="9"/>
    <x v="3"/>
    <x v="1"/>
    <x v="0"/>
    <n v="3"/>
    <x v="0"/>
    <s v="Low (&lt;2K)"/>
    <s v="Medium (3-4)"/>
    <n v="0"/>
    <n v="0"/>
    <n v="0"/>
  </r>
  <r>
    <s v="ORD0107"/>
    <d v="2025-03-19T00:00:00"/>
    <s v="Jeans"/>
    <x v="2"/>
    <n v="40"/>
    <n v="3"/>
    <n v="120"/>
    <x v="3"/>
    <x v="3"/>
    <x v="2"/>
    <x v="0"/>
    <x v="0"/>
    <n v="3"/>
    <x v="0"/>
    <s v="Low (&lt;2K)"/>
    <s v="Medium (3-4)"/>
    <n v="0"/>
    <n v="1"/>
    <n v="120"/>
  </r>
  <r>
    <s v="ORD0108"/>
    <d v="2025-03-16T00:00:00"/>
    <s v="Headphones"/>
    <x v="1"/>
    <n v="100"/>
    <n v="2"/>
    <n v="200"/>
    <x v="7"/>
    <x v="5"/>
    <x v="3"/>
    <x v="1"/>
    <x v="0"/>
    <n v="3"/>
    <x v="0"/>
    <s v="Low (&lt;2K)"/>
    <s v="Small (1-2)"/>
    <n v="0"/>
    <n v="0"/>
    <n v="0"/>
  </r>
  <r>
    <s v="ORD0109"/>
    <d v="2025-03-17T00:00:00"/>
    <s v="Jeans"/>
    <x v="2"/>
    <n v="40"/>
    <n v="5"/>
    <n v="200"/>
    <x v="6"/>
    <x v="0"/>
    <x v="3"/>
    <x v="2"/>
    <x v="0"/>
    <n v="3"/>
    <x v="0"/>
    <s v="Low (&lt;2K)"/>
    <s v="Bulk (5+)"/>
    <n v="1"/>
    <n v="0"/>
    <n v="0"/>
  </r>
  <r>
    <s v="ORD0110"/>
    <d v="2025-02-18T00:00:00"/>
    <s v="Smartphone"/>
    <x v="1"/>
    <n v="500"/>
    <n v="5"/>
    <n v="2500"/>
    <x v="3"/>
    <x v="3"/>
    <x v="1"/>
    <x v="1"/>
    <x v="1"/>
    <n v="2"/>
    <x v="0"/>
    <s v="Mid (2K-5K)"/>
    <s v="Bulk (5+)"/>
    <n v="0"/>
    <n v="0"/>
    <n v="0"/>
  </r>
  <r>
    <s v="ORD0111"/>
    <d v="2025-03-31T00:00:00"/>
    <s v="Laptop"/>
    <x v="1"/>
    <n v="800"/>
    <n v="4"/>
    <n v="3200"/>
    <x v="0"/>
    <x v="8"/>
    <x v="2"/>
    <x v="2"/>
    <x v="0"/>
    <n v="3"/>
    <x v="0"/>
    <s v="Mid (2K-5K)"/>
    <s v="Medium (3-4)"/>
    <n v="1"/>
    <n v="0"/>
    <n v="0"/>
  </r>
  <r>
    <s v="ORD0112"/>
    <d v="2025-03-06T00:00:00"/>
    <s v="Washing Machine"/>
    <x v="4"/>
    <n v="600"/>
    <n v="2"/>
    <n v="1200"/>
    <x v="5"/>
    <x v="3"/>
    <x v="4"/>
    <x v="0"/>
    <x v="0"/>
    <n v="3"/>
    <x v="0"/>
    <s v="Low (&lt;2K)"/>
    <s v="Small (1-2)"/>
    <n v="0"/>
    <n v="1"/>
    <n v="1200"/>
  </r>
  <r>
    <s v="ORD0113"/>
    <d v="2025-03-19T00:00:00"/>
    <s v="Book"/>
    <x v="3"/>
    <n v="15"/>
    <n v="5"/>
    <n v="75"/>
    <x v="5"/>
    <x v="1"/>
    <x v="0"/>
    <x v="1"/>
    <x v="0"/>
    <n v="3"/>
    <x v="0"/>
    <s v="Low (&lt;2K)"/>
    <s v="Bulk (5+)"/>
    <n v="0"/>
    <n v="0"/>
    <n v="0"/>
  </r>
  <r>
    <s v="ORD0114"/>
    <d v="2025-02-23T00:00:00"/>
    <s v="Running Shoes"/>
    <x v="0"/>
    <n v="60"/>
    <n v="1"/>
    <n v="60"/>
    <x v="0"/>
    <x v="4"/>
    <x v="2"/>
    <x v="1"/>
    <x v="1"/>
    <n v="2"/>
    <x v="0"/>
    <s v="Low (&lt;2K)"/>
    <s v="Small (1-2)"/>
    <n v="0"/>
    <n v="0"/>
    <n v="0"/>
  </r>
  <r>
    <s v="ORD0115"/>
    <d v="2025-03-21T00:00:00"/>
    <s v="Running Shoes"/>
    <x v="0"/>
    <n v="60"/>
    <n v="3"/>
    <n v="180"/>
    <x v="3"/>
    <x v="5"/>
    <x v="1"/>
    <x v="2"/>
    <x v="0"/>
    <n v="3"/>
    <x v="0"/>
    <s v="Low (&lt;2K)"/>
    <s v="Medium (3-4)"/>
    <n v="1"/>
    <n v="0"/>
    <n v="0"/>
  </r>
  <r>
    <s v="ORD0116"/>
    <d v="2025-03-19T00:00:00"/>
    <s v="Laptop"/>
    <x v="1"/>
    <n v="800"/>
    <n v="4"/>
    <n v="3200"/>
    <x v="0"/>
    <x v="8"/>
    <x v="1"/>
    <x v="2"/>
    <x v="0"/>
    <n v="3"/>
    <x v="0"/>
    <s v="Mid (2K-5K)"/>
    <s v="Medium (3-4)"/>
    <n v="1"/>
    <n v="0"/>
    <n v="0"/>
  </r>
  <r>
    <s v="ORD0117"/>
    <d v="2025-02-27T00:00:00"/>
    <s v="T-Shirt"/>
    <x v="2"/>
    <n v="20"/>
    <n v="1"/>
    <n v="20"/>
    <x v="7"/>
    <x v="0"/>
    <x v="2"/>
    <x v="2"/>
    <x v="1"/>
    <n v="2"/>
    <x v="0"/>
    <s v="Low (&lt;2K)"/>
    <s v="Small (1-2)"/>
    <n v="1"/>
    <n v="0"/>
    <n v="0"/>
  </r>
  <r>
    <s v="ORD0118"/>
    <d v="2025-02-10T00:00:00"/>
    <s v="Headphones"/>
    <x v="1"/>
    <n v="100"/>
    <n v="5"/>
    <n v="500"/>
    <x v="2"/>
    <x v="4"/>
    <x v="1"/>
    <x v="2"/>
    <x v="1"/>
    <n v="2"/>
    <x v="0"/>
    <s v="Low (&lt;2K)"/>
    <s v="Bulk (5+)"/>
    <n v="1"/>
    <n v="0"/>
    <n v="0"/>
  </r>
  <r>
    <s v="ORD0119"/>
    <d v="2025-03-16T00:00:00"/>
    <s v="Smartphone"/>
    <x v="1"/>
    <n v="500"/>
    <n v="2"/>
    <n v="1000"/>
    <x v="8"/>
    <x v="9"/>
    <x v="3"/>
    <x v="1"/>
    <x v="0"/>
    <n v="3"/>
    <x v="0"/>
    <s v="Low (&lt;2K)"/>
    <s v="Small (1-2)"/>
    <n v="0"/>
    <n v="0"/>
    <n v="0"/>
  </r>
  <r>
    <s v="ORD0120"/>
    <d v="2025-02-16T00:00:00"/>
    <s v="Laptop"/>
    <x v="1"/>
    <n v="800"/>
    <n v="5"/>
    <n v="4000"/>
    <x v="1"/>
    <x v="2"/>
    <x v="3"/>
    <x v="2"/>
    <x v="1"/>
    <n v="2"/>
    <x v="0"/>
    <s v="Mid (2K-5K)"/>
    <s v="Bulk (5+)"/>
    <n v="1"/>
    <n v="0"/>
    <n v="0"/>
  </r>
  <r>
    <s v="ORD0121"/>
    <d v="2025-02-18T00:00:00"/>
    <s v="Smartphone"/>
    <x v="1"/>
    <n v="500"/>
    <n v="1"/>
    <n v="500"/>
    <x v="2"/>
    <x v="3"/>
    <x v="4"/>
    <x v="1"/>
    <x v="1"/>
    <n v="2"/>
    <x v="0"/>
    <s v="Low (&lt;2K)"/>
    <s v="Small (1-2)"/>
    <n v="0"/>
    <n v="0"/>
    <n v="0"/>
  </r>
  <r>
    <s v="ORD0122"/>
    <d v="2025-03-28T00:00:00"/>
    <s v="Laptop"/>
    <x v="1"/>
    <n v="800"/>
    <n v="3"/>
    <n v="2400"/>
    <x v="2"/>
    <x v="5"/>
    <x v="2"/>
    <x v="0"/>
    <x v="0"/>
    <n v="3"/>
    <x v="0"/>
    <s v="Mid (2K-5K)"/>
    <s v="Medium (3-4)"/>
    <n v="0"/>
    <n v="1"/>
    <n v="2400"/>
  </r>
  <r>
    <s v="ORD0123"/>
    <d v="2025-02-23T00:00:00"/>
    <s v="Book"/>
    <x v="3"/>
    <n v="15"/>
    <n v="3"/>
    <n v="45"/>
    <x v="8"/>
    <x v="6"/>
    <x v="4"/>
    <x v="0"/>
    <x v="1"/>
    <n v="2"/>
    <x v="0"/>
    <s v="Low (&lt;2K)"/>
    <s v="Medium (3-4)"/>
    <n v="0"/>
    <n v="1"/>
    <n v="45"/>
  </r>
  <r>
    <s v="ORD0124"/>
    <d v="2025-02-10T00:00:00"/>
    <s v="Book"/>
    <x v="3"/>
    <n v="15"/>
    <n v="1"/>
    <n v="15"/>
    <x v="0"/>
    <x v="7"/>
    <x v="4"/>
    <x v="1"/>
    <x v="1"/>
    <n v="2"/>
    <x v="0"/>
    <s v="Low (&lt;2K)"/>
    <s v="Small (1-2)"/>
    <n v="0"/>
    <n v="0"/>
    <n v="0"/>
  </r>
  <r>
    <s v="ORD0125"/>
    <d v="2025-02-23T00:00:00"/>
    <s v="Smartphone"/>
    <x v="1"/>
    <n v="500"/>
    <n v="1"/>
    <n v="500"/>
    <x v="1"/>
    <x v="2"/>
    <x v="1"/>
    <x v="2"/>
    <x v="1"/>
    <n v="2"/>
    <x v="0"/>
    <s v="Low (&lt;2K)"/>
    <s v="Small (1-2)"/>
    <n v="1"/>
    <n v="0"/>
    <n v="0"/>
  </r>
  <r>
    <s v="ORD0126"/>
    <d v="2025-02-04T00:00:00"/>
    <s v="Refrigerator"/>
    <x v="4"/>
    <n v="1200"/>
    <n v="5"/>
    <n v="6000"/>
    <x v="3"/>
    <x v="9"/>
    <x v="4"/>
    <x v="1"/>
    <x v="1"/>
    <n v="2"/>
    <x v="0"/>
    <s v="High (≥5K)"/>
    <s v="Bulk (5+)"/>
    <n v="0"/>
    <n v="0"/>
    <n v="0"/>
  </r>
  <r>
    <s v="ORD0127"/>
    <d v="2025-02-18T00:00:00"/>
    <s v="T-Shirt"/>
    <x v="2"/>
    <n v="20"/>
    <n v="3"/>
    <n v="60"/>
    <x v="0"/>
    <x v="3"/>
    <x v="0"/>
    <x v="2"/>
    <x v="1"/>
    <n v="2"/>
    <x v="0"/>
    <s v="Low (&lt;2K)"/>
    <s v="Medium (3-4)"/>
    <n v="1"/>
    <n v="0"/>
    <n v="0"/>
  </r>
  <r>
    <s v="ORD0128"/>
    <d v="2025-03-23T00:00:00"/>
    <s v="Smartwatch"/>
    <x v="1"/>
    <n v="150"/>
    <n v="2"/>
    <n v="300"/>
    <x v="1"/>
    <x v="3"/>
    <x v="3"/>
    <x v="0"/>
    <x v="0"/>
    <n v="3"/>
    <x v="0"/>
    <s v="Low (&lt;2K)"/>
    <s v="Small (1-2)"/>
    <n v="0"/>
    <n v="1"/>
    <n v="300"/>
  </r>
  <r>
    <s v="ORD0129"/>
    <d v="2025-02-26T00:00:00"/>
    <s v="Jeans"/>
    <x v="2"/>
    <n v="40"/>
    <n v="5"/>
    <n v="200"/>
    <x v="1"/>
    <x v="0"/>
    <x v="0"/>
    <x v="1"/>
    <x v="1"/>
    <n v="2"/>
    <x v="0"/>
    <s v="Low (&lt;2K)"/>
    <s v="Bulk (5+)"/>
    <n v="0"/>
    <n v="0"/>
    <n v="0"/>
  </r>
  <r>
    <s v="ORD0130"/>
    <d v="2025-02-10T00:00:00"/>
    <s v="Smartwatch"/>
    <x v="1"/>
    <n v="150"/>
    <n v="5"/>
    <n v="750"/>
    <x v="5"/>
    <x v="6"/>
    <x v="3"/>
    <x v="2"/>
    <x v="1"/>
    <n v="2"/>
    <x v="0"/>
    <s v="Low (&lt;2K)"/>
    <s v="Bulk (5+)"/>
    <n v="1"/>
    <n v="0"/>
    <n v="0"/>
  </r>
  <r>
    <s v="ORD0131"/>
    <d v="2025-02-26T00:00:00"/>
    <s v="Jeans"/>
    <x v="2"/>
    <n v="40"/>
    <n v="2"/>
    <n v="80"/>
    <x v="7"/>
    <x v="9"/>
    <x v="2"/>
    <x v="1"/>
    <x v="1"/>
    <n v="2"/>
    <x v="0"/>
    <s v="Low (&lt;2K)"/>
    <s v="Small (1-2)"/>
    <n v="0"/>
    <n v="0"/>
    <n v="0"/>
  </r>
  <r>
    <s v="ORD0132"/>
    <d v="2025-03-07T00:00:00"/>
    <s v="Smartphone"/>
    <x v="1"/>
    <n v="500"/>
    <n v="2"/>
    <n v="1000"/>
    <x v="3"/>
    <x v="9"/>
    <x v="0"/>
    <x v="1"/>
    <x v="0"/>
    <n v="3"/>
    <x v="0"/>
    <s v="Low (&lt;2K)"/>
    <s v="Small (1-2)"/>
    <n v="0"/>
    <n v="0"/>
    <n v="0"/>
  </r>
  <r>
    <s v="ORD0133"/>
    <d v="2025-02-23T00:00:00"/>
    <s v="Laptop"/>
    <x v="1"/>
    <n v="800"/>
    <n v="1"/>
    <n v="800"/>
    <x v="1"/>
    <x v="0"/>
    <x v="1"/>
    <x v="1"/>
    <x v="1"/>
    <n v="2"/>
    <x v="0"/>
    <s v="Low (&lt;2K)"/>
    <s v="Small (1-2)"/>
    <n v="0"/>
    <n v="0"/>
    <n v="0"/>
  </r>
  <r>
    <s v="ORD0134"/>
    <d v="2025-02-07T00:00:00"/>
    <s v="Smartphone"/>
    <x v="1"/>
    <n v="500"/>
    <n v="5"/>
    <n v="2500"/>
    <x v="5"/>
    <x v="9"/>
    <x v="4"/>
    <x v="1"/>
    <x v="1"/>
    <n v="2"/>
    <x v="0"/>
    <s v="Mid (2K-5K)"/>
    <s v="Bulk (5+)"/>
    <n v="0"/>
    <n v="0"/>
    <n v="0"/>
  </r>
  <r>
    <s v="ORD0135"/>
    <d v="2025-02-10T00:00:00"/>
    <s v="T-Shirt"/>
    <x v="2"/>
    <n v="20"/>
    <n v="1"/>
    <n v="20"/>
    <x v="3"/>
    <x v="5"/>
    <x v="2"/>
    <x v="1"/>
    <x v="1"/>
    <n v="2"/>
    <x v="0"/>
    <s v="Low (&lt;2K)"/>
    <s v="Small (1-2)"/>
    <n v="0"/>
    <n v="0"/>
    <n v="0"/>
  </r>
  <r>
    <s v="ORD0136"/>
    <d v="2025-02-11T00:00:00"/>
    <s v="Refrigerator"/>
    <x v="4"/>
    <n v="1200"/>
    <n v="2"/>
    <n v="2400"/>
    <x v="7"/>
    <x v="1"/>
    <x v="3"/>
    <x v="0"/>
    <x v="1"/>
    <n v="2"/>
    <x v="0"/>
    <s v="Mid (2K-5K)"/>
    <s v="Small (1-2)"/>
    <n v="0"/>
    <n v="1"/>
    <n v="2400"/>
  </r>
  <r>
    <s v="ORD0137"/>
    <d v="2025-03-20T00:00:00"/>
    <s v="Smartwatch"/>
    <x v="1"/>
    <n v="150"/>
    <n v="3"/>
    <n v="450"/>
    <x v="4"/>
    <x v="1"/>
    <x v="0"/>
    <x v="2"/>
    <x v="0"/>
    <n v="3"/>
    <x v="0"/>
    <s v="Low (&lt;2K)"/>
    <s v="Medium (3-4)"/>
    <n v="1"/>
    <n v="0"/>
    <n v="0"/>
  </r>
  <r>
    <s v="ORD0138"/>
    <d v="2025-02-11T00:00:00"/>
    <s v="Smartwatch"/>
    <x v="1"/>
    <n v="150"/>
    <n v="5"/>
    <n v="750"/>
    <x v="2"/>
    <x v="8"/>
    <x v="2"/>
    <x v="0"/>
    <x v="1"/>
    <n v="2"/>
    <x v="0"/>
    <s v="Low (&lt;2K)"/>
    <s v="Bulk (5+)"/>
    <n v="0"/>
    <n v="1"/>
    <n v="750"/>
  </r>
  <r>
    <s v="ORD0139"/>
    <d v="2025-03-18T00:00:00"/>
    <s v="Laptop"/>
    <x v="1"/>
    <n v="800"/>
    <n v="2"/>
    <n v="1600"/>
    <x v="6"/>
    <x v="2"/>
    <x v="3"/>
    <x v="0"/>
    <x v="0"/>
    <n v="3"/>
    <x v="0"/>
    <s v="Low (&lt;2K)"/>
    <s v="Small (1-2)"/>
    <n v="0"/>
    <n v="1"/>
    <n v="1600"/>
  </r>
  <r>
    <s v="ORD0140"/>
    <d v="2025-03-19T00:00:00"/>
    <s v="Smartwatch"/>
    <x v="1"/>
    <n v="150"/>
    <n v="2"/>
    <n v="300"/>
    <x v="3"/>
    <x v="5"/>
    <x v="0"/>
    <x v="2"/>
    <x v="0"/>
    <n v="3"/>
    <x v="0"/>
    <s v="Low (&lt;2K)"/>
    <s v="Small (1-2)"/>
    <n v="1"/>
    <n v="0"/>
    <n v="0"/>
  </r>
  <r>
    <s v="ORD0141"/>
    <d v="2025-03-21T00:00:00"/>
    <s v="Smartphone"/>
    <x v="1"/>
    <n v="500"/>
    <n v="2"/>
    <n v="1000"/>
    <x v="2"/>
    <x v="5"/>
    <x v="3"/>
    <x v="2"/>
    <x v="0"/>
    <n v="3"/>
    <x v="0"/>
    <s v="Low (&lt;2K)"/>
    <s v="Small (1-2)"/>
    <n v="1"/>
    <n v="0"/>
    <n v="0"/>
  </r>
  <r>
    <s v="ORD0142"/>
    <d v="2025-03-15T00:00:00"/>
    <s v="Smartphone"/>
    <x v="1"/>
    <n v="500"/>
    <n v="3"/>
    <n v="1500"/>
    <x v="4"/>
    <x v="5"/>
    <x v="4"/>
    <x v="2"/>
    <x v="0"/>
    <n v="3"/>
    <x v="0"/>
    <s v="Low (&lt;2K)"/>
    <s v="Medium (3-4)"/>
    <n v="1"/>
    <n v="0"/>
    <n v="0"/>
  </r>
  <r>
    <s v="ORD0143"/>
    <d v="2025-03-31T00:00:00"/>
    <s v="Refrigerator"/>
    <x v="4"/>
    <n v="1200"/>
    <n v="2"/>
    <n v="2400"/>
    <x v="9"/>
    <x v="3"/>
    <x v="3"/>
    <x v="0"/>
    <x v="0"/>
    <n v="3"/>
    <x v="0"/>
    <s v="Mid (2K-5K)"/>
    <s v="Small (1-2)"/>
    <n v="0"/>
    <n v="1"/>
    <n v="2400"/>
  </r>
  <r>
    <s v="ORD0144"/>
    <d v="2025-02-27T00:00:00"/>
    <s v="Jeans"/>
    <x v="2"/>
    <n v="40"/>
    <n v="2"/>
    <n v="80"/>
    <x v="6"/>
    <x v="8"/>
    <x v="4"/>
    <x v="0"/>
    <x v="1"/>
    <n v="2"/>
    <x v="0"/>
    <s v="Low (&lt;2K)"/>
    <s v="Small (1-2)"/>
    <n v="0"/>
    <n v="1"/>
    <n v="80"/>
  </r>
  <r>
    <s v="ORD0145"/>
    <d v="2025-03-08T00:00:00"/>
    <s v="Smartwatch"/>
    <x v="1"/>
    <n v="150"/>
    <n v="2"/>
    <n v="300"/>
    <x v="6"/>
    <x v="7"/>
    <x v="0"/>
    <x v="0"/>
    <x v="0"/>
    <n v="3"/>
    <x v="0"/>
    <s v="Low (&lt;2K)"/>
    <s v="Small (1-2)"/>
    <n v="0"/>
    <n v="1"/>
    <n v="300"/>
  </r>
  <r>
    <s v="ORD0146"/>
    <d v="2025-03-25T00:00:00"/>
    <s v="Smartwatch"/>
    <x v="1"/>
    <n v="150"/>
    <n v="2"/>
    <n v="300"/>
    <x v="0"/>
    <x v="6"/>
    <x v="0"/>
    <x v="2"/>
    <x v="0"/>
    <n v="3"/>
    <x v="0"/>
    <s v="Low (&lt;2K)"/>
    <s v="Small (1-2)"/>
    <n v="1"/>
    <n v="0"/>
    <n v="0"/>
  </r>
  <r>
    <s v="ORD0147"/>
    <d v="2025-02-05T00:00:00"/>
    <s v="Running Shoes"/>
    <x v="0"/>
    <n v="60"/>
    <n v="5"/>
    <n v="300"/>
    <x v="9"/>
    <x v="3"/>
    <x v="3"/>
    <x v="1"/>
    <x v="1"/>
    <n v="2"/>
    <x v="0"/>
    <s v="Low (&lt;2K)"/>
    <s v="Bulk (5+)"/>
    <n v="0"/>
    <n v="0"/>
    <n v="0"/>
  </r>
  <r>
    <s v="ORD0148"/>
    <d v="2025-02-06T00:00:00"/>
    <s v="Headphones"/>
    <x v="1"/>
    <n v="100"/>
    <n v="4"/>
    <n v="400"/>
    <x v="1"/>
    <x v="8"/>
    <x v="1"/>
    <x v="0"/>
    <x v="1"/>
    <n v="2"/>
    <x v="0"/>
    <s v="Low (&lt;2K)"/>
    <s v="Medium (3-4)"/>
    <n v="0"/>
    <n v="1"/>
    <n v="400"/>
  </r>
  <r>
    <s v="ORD0149"/>
    <d v="2025-03-20T00:00:00"/>
    <s v="Running Shoes"/>
    <x v="0"/>
    <n v="60"/>
    <n v="3"/>
    <n v="180"/>
    <x v="6"/>
    <x v="0"/>
    <x v="4"/>
    <x v="1"/>
    <x v="0"/>
    <n v="3"/>
    <x v="0"/>
    <s v="Low (&lt;2K)"/>
    <s v="Medium (3-4)"/>
    <n v="0"/>
    <n v="0"/>
    <n v="0"/>
  </r>
  <r>
    <s v="ORD0150"/>
    <d v="2025-02-08T00:00:00"/>
    <s v="Book"/>
    <x v="3"/>
    <n v="15"/>
    <n v="4"/>
    <n v="60"/>
    <x v="7"/>
    <x v="9"/>
    <x v="4"/>
    <x v="0"/>
    <x v="1"/>
    <n v="2"/>
    <x v="0"/>
    <s v="Low (&lt;2K)"/>
    <s v="Medium (3-4)"/>
    <n v="0"/>
    <n v="1"/>
    <n v="60"/>
  </r>
  <r>
    <s v="ORD0151"/>
    <d v="2025-03-29T00:00:00"/>
    <s v="Washing Machine"/>
    <x v="4"/>
    <n v="600"/>
    <n v="4"/>
    <n v="2400"/>
    <x v="9"/>
    <x v="8"/>
    <x v="1"/>
    <x v="1"/>
    <x v="0"/>
    <n v="3"/>
    <x v="0"/>
    <s v="Mid (2K-5K)"/>
    <s v="Medium (3-4)"/>
    <n v="0"/>
    <n v="0"/>
    <n v="0"/>
  </r>
  <r>
    <s v="ORD0152"/>
    <d v="2025-02-28T00:00:00"/>
    <s v="Smartwatch"/>
    <x v="1"/>
    <n v="150"/>
    <n v="1"/>
    <n v="150"/>
    <x v="2"/>
    <x v="7"/>
    <x v="4"/>
    <x v="2"/>
    <x v="1"/>
    <n v="2"/>
    <x v="0"/>
    <s v="Low (&lt;2K)"/>
    <s v="Small (1-2)"/>
    <n v="1"/>
    <n v="0"/>
    <n v="0"/>
  </r>
  <r>
    <s v="ORD0153"/>
    <d v="2025-02-23T00:00:00"/>
    <s v="Smartwatch"/>
    <x v="1"/>
    <n v="150"/>
    <n v="5"/>
    <n v="750"/>
    <x v="4"/>
    <x v="1"/>
    <x v="3"/>
    <x v="1"/>
    <x v="1"/>
    <n v="2"/>
    <x v="0"/>
    <s v="Low (&lt;2K)"/>
    <s v="Bulk (5+)"/>
    <n v="0"/>
    <n v="0"/>
    <n v="0"/>
  </r>
  <r>
    <s v="ORD0154"/>
    <d v="2025-03-01T00:00:00"/>
    <s v="Headphones"/>
    <x v="1"/>
    <n v="100"/>
    <n v="2"/>
    <n v="200"/>
    <x v="2"/>
    <x v="2"/>
    <x v="0"/>
    <x v="2"/>
    <x v="0"/>
    <n v="3"/>
    <x v="0"/>
    <s v="Low (&lt;2K)"/>
    <s v="Small (1-2)"/>
    <n v="1"/>
    <n v="0"/>
    <n v="0"/>
  </r>
  <r>
    <s v="ORD0155"/>
    <d v="2025-02-05T00:00:00"/>
    <s v="Refrigerator"/>
    <x v="4"/>
    <n v="1200"/>
    <n v="4"/>
    <n v="4800"/>
    <x v="4"/>
    <x v="7"/>
    <x v="2"/>
    <x v="1"/>
    <x v="1"/>
    <n v="2"/>
    <x v="0"/>
    <s v="Mid (2K-5K)"/>
    <s v="Medium (3-4)"/>
    <n v="0"/>
    <n v="0"/>
    <n v="0"/>
  </r>
  <r>
    <s v="ORD0156"/>
    <d v="2025-03-16T00:00:00"/>
    <s v="Smartwatch"/>
    <x v="1"/>
    <n v="150"/>
    <n v="4"/>
    <n v="600"/>
    <x v="3"/>
    <x v="5"/>
    <x v="3"/>
    <x v="0"/>
    <x v="0"/>
    <n v="3"/>
    <x v="0"/>
    <s v="Low (&lt;2K)"/>
    <s v="Medium (3-4)"/>
    <n v="0"/>
    <n v="1"/>
    <n v="600"/>
  </r>
  <r>
    <s v="ORD0157"/>
    <d v="2025-02-08T00:00:00"/>
    <s v="Smartphone"/>
    <x v="1"/>
    <n v="500"/>
    <n v="3"/>
    <n v="1500"/>
    <x v="4"/>
    <x v="2"/>
    <x v="2"/>
    <x v="1"/>
    <x v="1"/>
    <n v="2"/>
    <x v="0"/>
    <s v="Low (&lt;2K)"/>
    <s v="Medium (3-4)"/>
    <n v="0"/>
    <n v="0"/>
    <n v="0"/>
  </r>
  <r>
    <s v="ORD0158"/>
    <d v="2025-02-24T00:00:00"/>
    <s v="Laptop"/>
    <x v="1"/>
    <n v="800"/>
    <n v="3"/>
    <n v="2400"/>
    <x v="8"/>
    <x v="5"/>
    <x v="0"/>
    <x v="1"/>
    <x v="1"/>
    <n v="2"/>
    <x v="0"/>
    <s v="Mid (2K-5K)"/>
    <s v="Medium (3-4)"/>
    <n v="0"/>
    <n v="0"/>
    <n v="0"/>
  </r>
  <r>
    <s v="ORD0159"/>
    <d v="2025-02-16T00:00:00"/>
    <s v="T-Shirt"/>
    <x v="2"/>
    <n v="20"/>
    <n v="2"/>
    <n v="40"/>
    <x v="5"/>
    <x v="3"/>
    <x v="4"/>
    <x v="0"/>
    <x v="1"/>
    <n v="2"/>
    <x v="0"/>
    <s v="Low (&lt;2K)"/>
    <s v="Small (1-2)"/>
    <n v="0"/>
    <n v="1"/>
    <n v="40"/>
  </r>
  <r>
    <s v="ORD0160"/>
    <d v="2025-02-06T00:00:00"/>
    <s v="Washing Machine"/>
    <x v="4"/>
    <n v="600"/>
    <n v="3"/>
    <n v="1800"/>
    <x v="3"/>
    <x v="2"/>
    <x v="4"/>
    <x v="0"/>
    <x v="1"/>
    <n v="2"/>
    <x v="0"/>
    <s v="Low (&lt;2K)"/>
    <s v="Medium (3-4)"/>
    <n v="0"/>
    <n v="1"/>
    <n v="1800"/>
  </r>
  <r>
    <s v="ORD0161"/>
    <d v="2025-02-22T00:00:00"/>
    <s v="Headphones"/>
    <x v="1"/>
    <n v="100"/>
    <n v="1"/>
    <n v="100"/>
    <x v="1"/>
    <x v="8"/>
    <x v="2"/>
    <x v="2"/>
    <x v="1"/>
    <n v="2"/>
    <x v="0"/>
    <s v="Low (&lt;2K)"/>
    <s v="Small (1-2)"/>
    <n v="1"/>
    <n v="0"/>
    <n v="0"/>
  </r>
  <r>
    <s v="ORD0162"/>
    <d v="2025-02-09T00:00:00"/>
    <s v="Smartphone"/>
    <x v="1"/>
    <n v="500"/>
    <n v="2"/>
    <n v="1000"/>
    <x v="3"/>
    <x v="9"/>
    <x v="2"/>
    <x v="2"/>
    <x v="1"/>
    <n v="2"/>
    <x v="0"/>
    <s v="Low (&lt;2K)"/>
    <s v="Small (1-2)"/>
    <n v="1"/>
    <n v="0"/>
    <n v="0"/>
  </r>
  <r>
    <s v="ORD0163"/>
    <d v="2025-02-20T00:00:00"/>
    <s v="Running Shoes"/>
    <x v="0"/>
    <n v="60"/>
    <n v="2"/>
    <n v="120"/>
    <x v="8"/>
    <x v="4"/>
    <x v="3"/>
    <x v="2"/>
    <x v="1"/>
    <n v="2"/>
    <x v="0"/>
    <s v="Low (&lt;2K)"/>
    <s v="Small (1-2)"/>
    <n v="1"/>
    <n v="0"/>
    <n v="0"/>
  </r>
  <r>
    <s v="ORD0164"/>
    <d v="2025-02-25T00:00:00"/>
    <s v="Smartwatch"/>
    <x v="1"/>
    <n v="150"/>
    <n v="5"/>
    <n v="750"/>
    <x v="6"/>
    <x v="6"/>
    <x v="0"/>
    <x v="1"/>
    <x v="1"/>
    <n v="2"/>
    <x v="0"/>
    <s v="Low (&lt;2K)"/>
    <s v="Bulk (5+)"/>
    <n v="0"/>
    <n v="0"/>
    <n v="0"/>
  </r>
  <r>
    <s v="ORD0165"/>
    <d v="2025-03-14T00:00:00"/>
    <s v="Book"/>
    <x v="3"/>
    <n v="15"/>
    <n v="1"/>
    <n v="15"/>
    <x v="5"/>
    <x v="0"/>
    <x v="1"/>
    <x v="1"/>
    <x v="0"/>
    <n v="3"/>
    <x v="0"/>
    <s v="Low (&lt;2K)"/>
    <s v="Small (1-2)"/>
    <n v="0"/>
    <n v="0"/>
    <n v="0"/>
  </r>
  <r>
    <s v="ORD0166"/>
    <d v="2025-03-30T00:00:00"/>
    <s v="Washing Machine"/>
    <x v="4"/>
    <n v="600"/>
    <n v="4"/>
    <n v="2400"/>
    <x v="8"/>
    <x v="4"/>
    <x v="2"/>
    <x v="1"/>
    <x v="0"/>
    <n v="3"/>
    <x v="0"/>
    <s v="Mid (2K-5K)"/>
    <s v="Medium (3-4)"/>
    <n v="0"/>
    <n v="0"/>
    <n v="0"/>
  </r>
  <r>
    <s v="ORD0167"/>
    <d v="2025-03-20T00:00:00"/>
    <s v="Refrigerator"/>
    <x v="4"/>
    <n v="1200"/>
    <n v="2"/>
    <n v="2400"/>
    <x v="3"/>
    <x v="7"/>
    <x v="2"/>
    <x v="2"/>
    <x v="0"/>
    <n v="3"/>
    <x v="0"/>
    <s v="Mid (2K-5K)"/>
    <s v="Small (1-2)"/>
    <n v="1"/>
    <n v="0"/>
    <n v="0"/>
  </r>
  <r>
    <s v="ORD0168"/>
    <d v="2025-03-24T00:00:00"/>
    <s v="Laptop"/>
    <x v="1"/>
    <n v="800"/>
    <n v="5"/>
    <n v="4000"/>
    <x v="6"/>
    <x v="5"/>
    <x v="0"/>
    <x v="1"/>
    <x v="0"/>
    <n v="3"/>
    <x v="0"/>
    <s v="Mid (2K-5K)"/>
    <s v="Bulk (5+)"/>
    <n v="0"/>
    <n v="0"/>
    <n v="0"/>
  </r>
  <r>
    <s v="ORD0169"/>
    <d v="2025-03-06T00:00:00"/>
    <s v="Refrigerator"/>
    <x v="4"/>
    <n v="1200"/>
    <n v="2"/>
    <n v="2400"/>
    <x v="2"/>
    <x v="2"/>
    <x v="3"/>
    <x v="2"/>
    <x v="0"/>
    <n v="3"/>
    <x v="0"/>
    <s v="Mid (2K-5K)"/>
    <s v="Small (1-2)"/>
    <n v="1"/>
    <n v="0"/>
    <n v="0"/>
  </r>
  <r>
    <s v="ORD0170"/>
    <d v="2025-02-28T00:00:00"/>
    <s v="Laptop"/>
    <x v="1"/>
    <n v="800"/>
    <n v="1"/>
    <n v="800"/>
    <x v="0"/>
    <x v="1"/>
    <x v="4"/>
    <x v="1"/>
    <x v="1"/>
    <n v="2"/>
    <x v="0"/>
    <s v="Low (&lt;2K)"/>
    <s v="Small (1-2)"/>
    <n v="0"/>
    <n v="0"/>
    <n v="0"/>
  </r>
  <r>
    <s v="ORD0171"/>
    <d v="2025-02-28T00:00:00"/>
    <s v="Smartwatch"/>
    <x v="1"/>
    <n v="150"/>
    <n v="2"/>
    <n v="300"/>
    <x v="7"/>
    <x v="4"/>
    <x v="3"/>
    <x v="2"/>
    <x v="1"/>
    <n v="2"/>
    <x v="0"/>
    <s v="Low (&lt;2K)"/>
    <s v="Small (1-2)"/>
    <n v="1"/>
    <n v="0"/>
    <n v="0"/>
  </r>
  <r>
    <s v="ORD0172"/>
    <d v="2025-03-12T00:00:00"/>
    <s v="Book"/>
    <x v="3"/>
    <n v="15"/>
    <n v="1"/>
    <n v="15"/>
    <x v="5"/>
    <x v="5"/>
    <x v="0"/>
    <x v="0"/>
    <x v="0"/>
    <n v="3"/>
    <x v="0"/>
    <s v="Low (&lt;2K)"/>
    <s v="Small (1-2)"/>
    <n v="0"/>
    <n v="1"/>
    <n v="15"/>
  </r>
  <r>
    <s v="ORD0173"/>
    <d v="2025-02-28T00:00:00"/>
    <s v="Refrigerator"/>
    <x v="4"/>
    <n v="1200"/>
    <n v="1"/>
    <n v="1200"/>
    <x v="3"/>
    <x v="7"/>
    <x v="3"/>
    <x v="2"/>
    <x v="1"/>
    <n v="2"/>
    <x v="0"/>
    <s v="Low (&lt;2K)"/>
    <s v="Small (1-2)"/>
    <n v="1"/>
    <n v="0"/>
    <n v="0"/>
  </r>
  <r>
    <s v="ORD0174"/>
    <d v="2025-03-13T00:00:00"/>
    <s v="Smartwatch"/>
    <x v="1"/>
    <n v="150"/>
    <n v="2"/>
    <n v="300"/>
    <x v="5"/>
    <x v="9"/>
    <x v="0"/>
    <x v="1"/>
    <x v="0"/>
    <n v="3"/>
    <x v="0"/>
    <s v="Low (&lt;2K)"/>
    <s v="Small (1-2)"/>
    <n v="0"/>
    <n v="0"/>
    <n v="0"/>
  </r>
  <r>
    <s v="ORD0175"/>
    <d v="2025-03-24T00:00:00"/>
    <s v="Jeans"/>
    <x v="2"/>
    <n v="40"/>
    <n v="5"/>
    <n v="200"/>
    <x v="5"/>
    <x v="0"/>
    <x v="0"/>
    <x v="0"/>
    <x v="0"/>
    <n v="3"/>
    <x v="0"/>
    <s v="Low (&lt;2K)"/>
    <s v="Bulk (5+)"/>
    <n v="0"/>
    <n v="1"/>
    <n v="200"/>
  </r>
  <r>
    <s v="ORD0176"/>
    <d v="2025-03-27T00:00:00"/>
    <s v="Book"/>
    <x v="3"/>
    <n v="15"/>
    <n v="1"/>
    <n v="15"/>
    <x v="6"/>
    <x v="6"/>
    <x v="1"/>
    <x v="2"/>
    <x v="0"/>
    <n v="3"/>
    <x v="0"/>
    <s v="Low (&lt;2K)"/>
    <s v="Small (1-2)"/>
    <n v="1"/>
    <n v="0"/>
    <n v="0"/>
  </r>
  <r>
    <s v="ORD0177"/>
    <d v="2025-03-14T00:00:00"/>
    <s v="Book"/>
    <x v="3"/>
    <n v="15"/>
    <n v="5"/>
    <n v="75"/>
    <x v="5"/>
    <x v="1"/>
    <x v="2"/>
    <x v="1"/>
    <x v="0"/>
    <n v="3"/>
    <x v="0"/>
    <s v="Low (&lt;2K)"/>
    <s v="Bulk (5+)"/>
    <n v="0"/>
    <n v="0"/>
    <n v="0"/>
  </r>
  <r>
    <s v="ORD0178"/>
    <d v="2025-02-06T00:00:00"/>
    <s v="Smartphone"/>
    <x v="1"/>
    <n v="500"/>
    <n v="3"/>
    <n v="1500"/>
    <x v="1"/>
    <x v="9"/>
    <x v="3"/>
    <x v="2"/>
    <x v="1"/>
    <n v="2"/>
    <x v="0"/>
    <s v="Low (&lt;2K)"/>
    <s v="Medium (3-4)"/>
    <n v="1"/>
    <n v="0"/>
    <n v="0"/>
  </r>
  <r>
    <s v="ORD0179"/>
    <d v="2025-03-25T00:00:00"/>
    <s v="Jeans"/>
    <x v="2"/>
    <n v="40"/>
    <n v="1"/>
    <n v="40"/>
    <x v="3"/>
    <x v="7"/>
    <x v="3"/>
    <x v="0"/>
    <x v="0"/>
    <n v="3"/>
    <x v="0"/>
    <s v="Low (&lt;2K)"/>
    <s v="Small (1-2)"/>
    <n v="0"/>
    <n v="1"/>
    <n v="40"/>
  </r>
  <r>
    <s v="ORD0180"/>
    <d v="2025-03-04T00:00:00"/>
    <s v="Refrigerator"/>
    <x v="4"/>
    <n v="1200"/>
    <n v="3"/>
    <n v="3600"/>
    <x v="5"/>
    <x v="6"/>
    <x v="4"/>
    <x v="2"/>
    <x v="0"/>
    <n v="3"/>
    <x v="0"/>
    <s v="Mid (2K-5K)"/>
    <s v="Medium (3-4)"/>
    <n v="1"/>
    <n v="0"/>
    <n v="0"/>
  </r>
  <r>
    <s v="ORD0181"/>
    <d v="2025-03-03T00:00:00"/>
    <s v="Running Shoes"/>
    <x v="0"/>
    <n v="60"/>
    <n v="2"/>
    <n v="120"/>
    <x v="5"/>
    <x v="8"/>
    <x v="0"/>
    <x v="0"/>
    <x v="0"/>
    <n v="3"/>
    <x v="0"/>
    <s v="Low (&lt;2K)"/>
    <s v="Small (1-2)"/>
    <n v="0"/>
    <n v="1"/>
    <n v="120"/>
  </r>
  <r>
    <s v="ORD0182"/>
    <d v="2025-04-02T00:00:00"/>
    <s v="T-Shirt"/>
    <x v="2"/>
    <n v="20"/>
    <n v="5"/>
    <n v="100"/>
    <x v="0"/>
    <x v="2"/>
    <x v="3"/>
    <x v="2"/>
    <x v="2"/>
    <n v="4"/>
    <x v="1"/>
    <s v="Low (&lt;2K)"/>
    <s v="Bulk (5+)"/>
    <n v="1"/>
    <n v="0"/>
    <n v="0"/>
  </r>
  <r>
    <s v="ORD0183"/>
    <d v="2025-03-25T00:00:00"/>
    <s v="Washing Machine"/>
    <x v="4"/>
    <n v="600"/>
    <n v="1"/>
    <n v="600"/>
    <x v="0"/>
    <x v="7"/>
    <x v="0"/>
    <x v="1"/>
    <x v="0"/>
    <n v="3"/>
    <x v="0"/>
    <s v="Low (&lt;2K)"/>
    <s v="Small (1-2)"/>
    <n v="0"/>
    <n v="0"/>
    <n v="0"/>
  </r>
  <r>
    <s v="ORD0184"/>
    <d v="2025-02-17T00:00:00"/>
    <s v="Book"/>
    <x v="3"/>
    <n v="15"/>
    <n v="5"/>
    <n v="75"/>
    <x v="7"/>
    <x v="5"/>
    <x v="0"/>
    <x v="1"/>
    <x v="1"/>
    <n v="2"/>
    <x v="0"/>
    <s v="Low (&lt;2K)"/>
    <s v="Bulk (5+)"/>
    <n v="0"/>
    <n v="0"/>
    <n v="0"/>
  </r>
  <r>
    <s v="ORD0185"/>
    <d v="2025-03-22T00:00:00"/>
    <s v="T-Shirt"/>
    <x v="2"/>
    <n v="20"/>
    <n v="1"/>
    <n v="20"/>
    <x v="8"/>
    <x v="3"/>
    <x v="0"/>
    <x v="2"/>
    <x v="0"/>
    <n v="3"/>
    <x v="0"/>
    <s v="Low (&lt;2K)"/>
    <s v="Small (1-2)"/>
    <n v="1"/>
    <n v="0"/>
    <n v="0"/>
  </r>
  <r>
    <s v="ORD0186"/>
    <d v="2025-03-02T00:00:00"/>
    <s v="Washing Machine"/>
    <x v="4"/>
    <n v="600"/>
    <n v="4"/>
    <n v="2400"/>
    <x v="6"/>
    <x v="0"/>
    <x v="3"/>
    <x v="2"/>
    <x v="0"/>
    <n v="3"/>
    <x v="0"/>
    <s v="Mid (2K-5K)"/>
    <s v="Medium (3-4)"/>
    <n v="1"/>
    <n v="0"/>
    <n v="0"/>
  </r>
  <r>
    <s v="ORD0187"/>
    <d v="2025-03-13T00:00:00"/>
    <s v="Laptop"/>
    <x v="1"/>
    <n v="800"/>
    <n v="3"/>
    <n v="2400"/>
    <x v="2"/>
    <x v="0"/>
    <x v="3"/>
    <x v="1"/>
    <x v="0"/>
    <n v="3"/>
    <x v="0"/>
    <s v="Mid (2K-5K)"/>
    <s v="Medium (3-4)"/>
    <n v="0"/>
    <n v="0"/>
    <n v="0"/>
  </r>
  <r>
    <s v="ORD0188"/>
    <d v="2025-02-14T00:00:00"/>
    <s v="Book"/>
    <x v="3"/>
    <n v="15"/>
    <n v="1"/>
    <n v="15"/>
    <x v="2"/>
    <x v="6"/>
    <x v="1"/>
    <x v="2"/>
    <x v="1"/>
    <n v="2"/>
    <x v="0"/>
    <s v="Low (&lt;2K)"/>
    <s v="Small (1-2)"/>
    <n v="1"/>
    <n v="0"/>
    <n v="0"/>
  </r>
  <r>
    <s v="ORD0189"/>
    <d v="2025-02-10T00:00:00"/>
    <s v="Laptop"/>
    <x v="1"/>
    <n v="800"/>
    <n v="3"/>
    <n v="2400"/>
    <x v="9"/>
    <x v="4"/>
    <x v="1"/>
    <x v="2"/>
    <x v="1"/>
    <n v="2"/>
    <x v="0"/>
    <s v="Mid (2K-5K)"/>
    <s v="Medium (3-4)"/>
    <n v="1"/>
    <n v="0"/>
    <n v="0"/>
  </r>
  <r>
    <s v="ORD0190"/>
    <d v="2025-02-23T00:00:00"/>
    <s v="Running Shoes"/>
    <x v="0"/>
    <n v="60"/>
    <n v="1"/>
    <n v="60"/>
    <x v="4"/>
    <x v="4"/>
    <x v="3"/>
    <x v="2"/>
    <x v="1"/>
    <n v="2"/>
    <x v="0"/>
    <s v="Low (&lt;2K)"/>
    <s v="Small (1-2)"/>
    <n v="1"/>
    <n v="0"/>
    <n v="0"/>
  </r>
  <r>
    <s v="ORD0191"/>
    <d v="2025-02-28T00:00:00"/>
    <s v="Jeans"/>
    <x v="2"/>
    <n v="40"/>
    <n v="4"/>
    <n v="160"/>
    <x v="2"/>
    <x v="7"/>
    <x v="1"/>
    <x v="1"/>
    <x v="1"/>
    <n v="2"/>
    <x v="0"/>
    <s v="Low (&lt;2K)"/>
    <s v="Medium (3-4)"/>
    <n v="0"/>
    <n v="0"/>
    <n v="0"/>
  </r>
  <r>
    <s v="ORD0192"/>
    <d v="2025-03-31T00:00:00"/>
    <s v="Headphones"/>
    <x v="1"/>
    <n v="100"/>
    <n v="3"/>
    <n v="300"/>
    <x v="4"/>
    <x v="3"/>
    <x v="4"/>
    <x v="1"/>
    <x v="0"/>
    <n v="3"/>
    <x v="0"/>
    <s v="Low (&lt;2K)"/>
    <s v="Medium (3-4)"/>
    <n v="0"/>
    <n v="0"/>
    <n v="0"/>
  </r>
  <r>
    <s v="ORD0193"/>
    <d v="2025-03-30T00:00:00"/>
    <s v="Book"/>
    <x v="3"/>
    <n v="15"/>
    <n v="5"/>
    <n v="75"/>
    <x v="5"/>
    <x v="9"/>
    <x v="1"/>
    <x v="1"/>
    <x v="0"/>
    <n v="3"/>
    <x v="0"/>
    <s v="Low (&lt;2K)"/>
    <s v="Bulk (5+)"/>
    <n v="0"/>
    <n v="0"/>
    <n v="0"/>
  </r>
  <r>
    <s v="ORD0194"/>
    <d v="2025-02-20T00:00:00"/>
    <s v="Jeans"/>
    <x v="2"/>
    <n v="40"/>
    <n v="4"/>
    <n v="160"/>
    <x v="2"/>
    <x v="1"/>
    <x v="0"/>
    <x v="0"/>
    <x v="1"/>
    <n v="2"/>
    <x v="0"/>
    <s v="Low (&lt;2K)"/>
    <s v="Medium (3-4)"/>
    <n v="0"/>
    <n v="1"/>
    <n v="160"/>
  </r>
  <r>
    <s v="ORD0195"/>
    <d v="2025-03-10T00:00:00"/>
    <s v="Smartphone"/>
    <x v="1"/>
    <n v="500"/>
    <n v="3"/>
    <n v="1500"/>
    <x v="3"/>
    <x v="2"/>
    <x v="4"/>
    <x v="0"/>
    <x v="0"/>
    <n v="3"/>
    <x v="0"/>
    <s v="Low (&lt;2K)"/>
    <s v="Medium (3-4)"/>
    <n v="0"/>
    <n v="1"/>
    <n v="1500"/>
  </r>
  <r>
    <s v="ORD0196"/>
    <d v="2025-03-04T00:00:00"/>
    <s v="Headphones"/>
    <x v="1"/>
    <n v="100"/>
    <n v="5"/>
    <n v="500"/>
    <x v="7"/>
    <x v="7"/>
    <x v="0"/>
    <x v="1"/>
    <x v="0"/>
    <n v="3"/>
    <x v="0"/>
    <s v="Low (&lt;2K)"/>
    <s v="Bulk (5+)"/>
    <n v="0"/>
    <n v="0"/>
    <n v="0"/>
  </r>
  <r>
    <s v="ORD0197"/>
    <d v="2025-03-12T00:00:00"/>
    <s v="Running Shoes"/>
    <x v="0"/>
    <n v="60"/>
    <n v="2"/>
    <n v="120"/>
    <x v="6"/>
    <x v="2"/>
    <x v="4"/>
    <x v="2"/>
    <x v="0"/>
    <n v="3"/>
    <x v="0"/>
    <s v="Low (&lt;2K)"/>
    <s v="Small (1-2)"/>
    <n v="1"/>
    <n v="0"/>
    <n v="0"/>
  </r>
  <r>
    <s v="ORD0198"/>
    <d v="2025-02-20T00:00:00"/>
    <s v="Laptop"/>
    <x v="1"/>
    <n v="800"/>
    <n v="4"/>
    <n v="3200"/>
    <x v="9"/>
    <x v="7"/>
    <x v="1"/>
    <x v="1"/>
    <x v="1"/>
    <n v="2"/>
    <x v="0"/>
    <s v="Mid (2K-5K)"/>
    <s v="Medium (3-4)"/>
    <n v="0"/>
    <n v="0"/>
    <n v="0"/>
  </r>
  <r>
    <s v="ORD0199"/>
    <d v="2025-02-22T00:00:00"/>
    <s v="Smartphone"/>
    <x v="1"/>
    <n v="500"/>
    <n v="3"/>
    <n v="1500"/>
    <x v="8"/>
    <x v="3"/>
    <x v="2"/>
    <x v="2"/>
    <x v="1"/>
    <n v="2"/>
    <x v="0"/>
    <s v="Low (&lt;2K)"/>
    <s v="Medium (3-4)"/>
    <n v="1"/>
    <n v="0"/>
    <n v="0"/>
  </r>
  <r>
    <s v="ORD0200"/>
    <d v="2025-02-10T00:00:00"/>
    <s v="Book"/>
    <x v="3"/>
    <n v="15"/>
    <n v="2"/>
    <n v="30"/>
    <x v="8"/>
    <x v="8"/>
    <x v="0"/>
    <x v="2"/>
    <x v="1"/>
    <n v="2"/>
    <x v="0"/>
    <s v="Low (&lt;2K)"/>
    <s v="Small (1-2)"/>
    <n v="1"/>
    <n v="0"/>
    <n v="0"/>
  </r>
  <r>
    <s v="ORD0201"/>
    <d v="2025-02-03T00:00:00"/>
    <s v="Book"/>
    <x v="3"/>
    <n v="15"/>
    <n v="4"/>
    <n v="60"/>
    <x v="6"/>
    <x v="1"/>
    <x v="2"/>
    <x v="2"/>
    <x v="1"/>
    <n v="2"/>
    <x v="0"/>
    <s v="Low (&lt;2K)"/>
    <s v="Medium (3-4)"/>
    <n v="1"/>
    <n v="0"/>
    <n v="0"/>
  </r>
  <r>
    <s v="ORD0202"/>
    <d v="2025-02-21T00:00:00"/>
    <s v="Smartphone"/>
    <x v="1"/>
    <n v="500"/>
    <n v="2"/>
    <n v="1000"/>
    <x v="7"/>
    <x v="5"/>
    <x v="2"/>
    <x v="0"/>
    <x v="1"/>
    <n v="2"/>
    <x v="0"/>
    <s v="Low (&lt;2K)"/>
    <s v="Small (1-2)"/>
    <n v="0"/>
    <n v="1"/>
    <n v="1000"/>
  </r>
  <r>
    <s v="ORD0203"/>
    <d v="2025-02-21T00:00:00"/>
    <s v="Refrigerator"/>
    <x v="4"/>
    <n v="1200"/>
    <n v="3"/>
    <n v="3600"/>
    <x v="2"/>
    <x v="3"/>
    <x v="0"/>
    <x v="2"/>
    <x v="1"/>
    <n v="2"/>
    <x v="0"/>
    <s v="Mid (2K-5K)"/>
    <s v="Medium (3-4)"/>
    <n v="1"/>
    <n v="0"/>
    <n v="0"/>
  </r>
  <r>
    <s v="ORD0204"/>
    <d v="2025-03-08T00:00:00"/>
    <s v="Running Shoes"/>
    <x v="0"/>
    <n v="60"/>
    <n v="5"/>
    <n v="300"/>
    <x v="9"/>
    <x v="5"/>
    <x v="4"/>
    <x v="1"/>
    <x v="0"/>
    <n v="3"/>
    <x v="0"/>
    <s v="Low (&lt;2K)"/>
    <s v="Bulk (5+)"/>
    <n v="0"/>
    <n v="0"/>
    <n v="0"/>
  </r>
  <r>
    <s v="ORD0205"/>
    <d v="2025-02-27T00:00:00"/>
    <s v="Headphones"/>
    <x v="1"/>
    <n v="100"/>
    <n v="2"/>
    <n v="200"/>
    <x v="5"/>
    <x v="4"/>
    <x v="3"/>
    <x v="2"/>
    <x v="1"/>
    <n v="2"/>
    <x v="0"/>
    <s v="Low (&lt;2K)"/>
    <s v="Small (1-2)"/>
    <n v="1"/>
    <n v="0"/>
    <n v="0"/>
  </r>
  <r>
    <s v="ORD0206"/>
    <d v="2025-02-12T00:00:00"/>
    <s v="Washing Machine"/>
    <x v="4"/>
    <n v="600"/>
    <n v="5"/>
    <n v="3000"/>
    <x v="0"/>
    <x v="5"/>
    <x v="1"/>
    <x v="1"/>
    <x v="1"/>
    <n v="2"/>
    <x v="0"/>
    <s v="Mid (2K-5K)"/>
    <s v="Bulk (5+)"/>
    <n v="0"/>
    <n v="0"/>
    <n v="0"/>
  </r>
  <r>
    <s v="ORD0207"/>
    <d v="2025-03-21T00:00:00"/>
    <s v="Washing Machine"/>
    <x v="4"/>
    <n v="600"/>
    <n v="1"/>
    <n v="600"/>
    <x v="2"/>
    <x v="5"/>
    <x v="2"/>
    <x v="2"/>
    <x v="0"/>
    <n v="3"/>
    <x v="0"/>
    <s v="Low (&lt;2K)"/>
    <s v="Small (1-2)"/>
    <n v="1"/>
    <n v="0"/>
    <n v="0"/>
  </r>
  <r>
    <s v="ORD0208"/>
    <d v="2025-02-02T00:00:00"/>
    <s v="Refrigerator"/>
    <x v="4"/>
    <n v="1200"/>
    <n v="3"/>
    <n v="3600"/>
    <x v="2"/>
    <x v="5"/>
    <x v="3"/>
    <x v="2"/>
    <x v="1"/>
    <n v="2"/>
    <x v="0"/>
    <s v="Mid (2K-5K)"/>
    <s v="Medium (3-4)"/>
    <n v="1"/>
    <n v="0"/>
    <n v="0"/>
  </r>
  <r>
    <s v="ORD0209"/>
    <d v="2025-03-29T00:00:00"/>
    <s v="Jeans"/>
    <x v="2"/>
    <n v="40"/>
    <n v="5"/>
    <n v="200"/>
    <x v="7"/>
    <x v="3"/>
    <x v="3"/>
    <x v="2"/>
    <x v="0"/>
    <n v="3"/>
    <x v="0"/>
    <s v="Low (&lt;2K)"/>
    <s v="Bulk (5+)"/>
    <n v="1"/>
    <n v="0"/>
    <n v="0"/>
  </r>
  <r>
    <s v="ORD0210"/>
    <d v="2025-03-23T00:00:00"/>
    <s v="Laptop"/>
    <x v="1"/>
    <n v="800"/>
    <n v="3"/>
    <n v="2400"/>
    <x v="9"/>
    <x v="0"/>
    <x v="3"/>
    <x v="2"/>
    <x v="0"/>
    <n v="3"/>
    <x v="0"/>
    <s v="Mid (2K-5K)"/>
    <s v="Medium (3-4)"/>
    <n v="1"/>
    <n v="0"/>
    <n v="0"/>
  </r>
  <r>
    <s v="ORD0211"/>
    <d v="2025-03-13T00:00:00"/>
    <s v="Smartphone"/>
    <x v="1"/>
    <n v="500"/>
    <n v="1"/>
    <n v="500"/>
    <x v="5"/>
    <x v="5"/>
    <x v="4"/>
    <x v="1"/>
    <x v="0"/>
    <n v="3"/>
    <x v="0"/>
    <s v="Low (&lt;2K)"/>
    <s v="Small (1-2)"/>
    <n v="0"/>
    <n v="0"/>
    <n v="0"/>
  </r>
  <r>
    <s v="ORD0212"/>
    <d v="2025-03-09T00:00:00"/>
    <s v="T-Shirt"/>
    <x v="2"/>
    <n v="20"/>
    <n v="4"/>
    <n v="80"/>
    <x v="0"/>
    <x v="4"/>
    <x v="0"/>
    <x v="2"/>
    <x v="0"/>
    <n v="3"/>
    <x v="0"/>
    <s v="Low (&lt;2K)"/>
    <s v="Medium (3-4)"/>
    <n v="1"/>
    <n v="0"/>
    <n v="0"/>
  </r>
  <r>
    <s v="ORD0213"/>
    <d v="2025-02-06T00:00:00"/>
    <s v="Laptop"/>
    <x v="1"/>
    <n v="800"/>
    <n v="1"/>
    <n v="800"/>
    <x v="9"/>
    <x v="8"/>
    <x v="1"/>
    <x v="0"/>
    <x v="1"/>
    <n v="2"/>
    <x v="0"/>
    <s v="Low (&lt;2K)"/>
    <s v="Small (1-2)"/>
    <n v="0"/>
    <n v="1"/>
    <n v="800"/>
  </r>
  <r>
    <s v="ORD0214"/>
    <d v="2025-02-18T00:00:00"/>
    <s v="Smartwatch"/>
    <x v="1"/>
    <n v="150"/>
    <n v="5"/>
    <n v="750"/>
    <x v="1"/>
    <x v="4"/>
    <x v="0"/>
    <x v="2"/>
    <x v="1"/>
    <n v="2"/>
    <x v="0"/>
    <s v="Low (&lt;2K)"/>
    <s v="Bulk (5+)"/>
    <n v="1"/>
    <n v="0"/>
    <n v="0"/>
  </r>
  <r>
    <s v="ORD0215"/>
    <d v="2025-03-07T00:00:00"/>
    <s v="Running Shoes"/>
    <x v="0"/>
    <n v="60"/>
    <n v="1"/>
    <n v="60"/>
    <x v="0"/>
    <x v="4"/>
    <x v="3"/>
    <x v="2"/>
    <x v="0"/>
    <n v="3"/>
    <x v="0"/>
    <s v="Low (&lt;2K)"/>
    <s v="Small (1-2)"/>
    <n v="1"/>
    <n v="0"/>
    <n v="0"/>
  </r>
  <r>
    <s v="ORD0216"/>
    <d v="2025-03-26T00:00:00"/>
    <s v="Jeans"/>
    <x v="2"/>
    <n v="40"/>
    <n v="2"/>
    <n v="80"/>
    <x v="8"/>
    <x v="9"/>
    <x v="2"/>
    <x v="2"/>
    <x v="0"/>
    <n v="3"/>
    <x v="0"/>
    <s v="Low (&lt;2K)"/>
    <s v="Small (1-2)"/>
    <n v="1"/>
    <n v="0"/>
    <n v="0"/>
  </r>
  <r>
    <s v="ORD0217"/>
    <d v="2025-03-19T00:00:00"/>
    <s v="Running Shoes"/>
    <x v="0"/>
    <n v="60"/>
    <n v="2"/>
    <n v="120"/>
    <x v="0"/>
    <x v="6"/>
    <x v="4"/>
    <x v="1"/>
    <x v="0"/>
    <n v="3"/>
    <x v="0"/>
    <s v="Low (&lt;2K)"/>
    <s v="Small (1-2)"/>
    <n v="0"/>
    <n v="0"/>
    <n v="0"/>
  </r>
  <r>
    <s v="ORD0218"/>
    <d v="2025-02-15T00:00:00"/>
    <s v="Headphones"/>
    <x v="1"/>
    <n v="100"/>
    <n v="4"/>
    <n v="400"/>
    <x v="7"/>
    <x v="0"/>
    <x v="4"/>
    <x v="0"/>
    <x v="1"/>
    <n v="2"/>
    <x v="0"/>
    <s v="Low (&lt;2K)"/>
    <s v="Medium (3-4)"/>
    <n v="0"/>
    <n v="1"/>
    <n v="400"/>
  </r>
  <r>
    <s v="ORD0219"/>
    <d v="2025-02-17T00:00:00"/>
    <s v="Headphones"/>
    <x v="1"/>
    <n v="100"/>
    <n v="3"/>
    <n v="300"/>
    <x v="5"/>
    <x v="4"/>
    <x v="3"/>
    <x v="0"/>
    <x v="1"/>
    <n v="2"/>
    <x v="0"/>
    <s v="Low (&lt;2K)"/>
    <s v="Medium (3-4)"/>
    <n v="0"/>
    <n v="1"/>
    <n v="300"/>
  </r>
  <r>
    <s v="ORD0220"/>
    <d v="2025-02-10T00:00:00"/>
    <s v="Smartwatch"/>
    <x v="1"/>
    <n v="150"/>
    <n v="3"/>
    <n v="450"/>
    <x v="6"/>
    <x v="2"/>
    <x v="0"/>
    <x v="2"/>
    <x v="1"/>
    <n v="2"/>
    <x v="0"/>
    <s v="Low (&lt;2K)"/>
    <s v="Medium (3-4)"/>
    <n v="1"/>
    <n v="0"/>
    <n v="0"/>
  </r>
  <r>
    <s v="ORD0221"/>
    <d v="2025-02-28T00:00:00"/>
    <s v="Washing Machine"/>
    <x v="4"/>
    <n v="600"/>
    <n v="2"/>
    <n v="1200"/>
    <x v="1"/>
    <x v="9"/>
    <x v="4"/>
    <x v="0"/>
    <x v="1"/>
    <n v="2"/>
    <x v="0"/>
    <s v="Low (&lt;2K)"/>
    <s v="Small (1-2)"/>
    <n v="0"/>
    <n v="1"/>
    <n v="1200"/>
  </r>
  <r>
    <s v="ORD0222"/>
    <d v="2025-02-16T00:00:00"/>
    <s v="Washing Machine"/>
    <x v="4"/>
    <n v="600"/>
    <n v="2"/>
    <n v="1200"/>
    <x v="8"/>
    <x v="7"/>
    <x v="3"/>
    <x v="0"/>
    <x v="1"/>
    <n v="2"/>
    <x v="0"/>
    <s v="Low (&lt;2K)"/>
    <s v="Small (1-2)"/>
    <n v="0"/>
    <n v="1"/>
    <n v="1200"/>
  </r>
  <r>
    <s v="ORD0223"/>
    <d v="2025-03-24T00:00:00"/>
    <s v="Jeans"/>
    <x v="2"/>
    <n v="40"/>
    <n v="2"/>
    <n v="80"/>
    <x v="5"/>
    <x v="2"/>
    <x v="1"/>
    <x v="0"/>
    <x v="0"/>
    <n v="3"/>
    <x v="0"/>
    <s v="Low (&lt;2K)"/>
    <s v="Small (1-2)"/>
    <n v="0"/>
    <n v="1"/>
    <n v="80"/>
  </r>
  <r>
    <s v="ORD0224"/>
    <d v="2025-03-18T00:00:00"/>
    <s v="Refrigerator"/>
    <x v="4"/>
    <n v="1200"/>
    <n v="1"/>
    <n v="1200"/>
    <x v="9"/>
    <x v="5"/>
    <x v="3"/>
    <x v="2"/>
    <x v="0"/>
    <n v="3"/>
    <x v="0"/>
    <s v="Low (&lt;2K)"/>
    <s v="Small (1-2)"/>
    <n v="1"/>
    <n v="0"/>
    <n v="0"/>
  </r>
  <r>
    <s v="ORD0225"/>
    <d v="2025-03-11T00:00:00"/>
    <s v="Jeans"/>
    <x v="2"/>
    <n v="40"/>
    <n v="1"/>
    <n v="40"/>
    <x v="4"/>
    <x v="0"/>
    <x v="4"/>
    <x v="0"/>
    <x v="0"/>
    <n v="3"/>
    <x v="0"/>
    <s v="Low (&lt;2K)"/>
    <s v="Small (1-2)"/>
    <n v="0"/>
    <n v="1"/>
    <n v="40"/>
  </r>
  <r>
    <s v="ORD0226"/>
    <d v="2025-03-05T00:00:00"/>
    <s v="Running Shoes"/>
    <x v="0"/>
    <n v="60"/>
    <n v="4"/>
    <n v="240"/>
    <x v="8"/>
    <x v="9"/>
    <x v="1"/>
    <x v="2"/>
    <x v="0"/>
    <n v="3"/>
    <x v="0"/>
    <s v="Low (&lt;2K)"/>
    <s v="Medium (3-4)"/>
    <n v="1"/>
    <n v="0"/>
    <n v="0"/>
  </r>
  <r>
    <s v="ORD0227"/>
    <d v="2025-04-02T00:00:00"/>
    <s v="Headphones"/>
    <x v="1"/>
    <n v="100"/>
    <n v="5"/>
    <n v="500"/>
    <x v="0"/>
    <x v="5"/>
    <x v="1"/>
    <x v="0"/>
    <x v="2"/>
    <n v="4"/>
    <x v="1"/>
    <s v="Low (&lt;2K)"/>
    <s v="Bulk (5+)"/>
    <n v="0"/>
    <n v="1"/>
    <n v="500"/>
  </r>
  <r>
    <s v="ORD0228"/>
    <d v="2025-02-12T00:00:00"/>
    <s v="Running Shoes"/>
    <x v="0"/>
    <n v="60"/>
    <n v="1"/>
    <n v="60"/>
    <x v="5"/>
    <x v="1"/>
    <x v="2"/>
    <x v="1"/>
    <x v="1"/>
    <n v="2"/>
    <x v="0"/>
    <s v="Low (&lt;2K)"/>
    <s v="Small (1-2)"/>
    <n v="0"/>
    <n v="0"/>
    <n v="0"/>
  </r>
  <r>
    <s v="ORD0229"/>
    <d v="2025-03-21T00:00:00"/>
    <s v="Running Shoes"/>
    <x v="0"/>
    <n v="60"/>
    <n v="3"/>
    <n v="180"/>
    <x v="0"/>
    <x v="1"/>
    <x v="2"/>
    <x v="1"/>
    <x v="0"/>
    <n v="3"/>
    <x v="0"/>
    <s v="Low (&lt;2K)"/>
    <s v="Medium (3-4)"/>
    <n v="0"/>
    <n v="0"/>
    <n v="0"/>
  </r>
  <r>
    <s v="ORD0230"/>
    <d v="2025-03-31T00:00:00"/>
    <s v="Headphones"/>
    <x v="1"/>
    <n v="100"/>
    <n v="4"/>
    <n v="400"/>
    <x v="9"/>
    <x v="1"/>
    <x v="1"/>
    <x v="1"/>
    <x v="0"/>
    <n v="3"/>
    <x v="0"/>
    <s v="Low (&lt;2K)"/>
    <s v="Medium (3-4)"/>
    <n v="0"/>
    <n v="0"/>
    <n v="0"/>
  </r>
  <r>
    <s v="ORD0231"/>
    <d v="2025-02-16T00:00:00"/>
    <s v="Laptop"/>
    <x v="1"/>
    <n v="800"/>
    <n v="5"/>
    <n v="4000"/>
    <x v="9"/>
    <x v="6"/>
    <x v="2"/>
    <x v="0"/>
    <x v="1"/>
    <n v="2"/>
    <x v="0"/>
    <s v="Mid (2K-5K)"/>
    <s v="Bulk (5+)"/>
    <n v="0"/>
    <n v="1"/>
    <n v="4000"/>
  </r>
  <r>
    <s v="ORD0232"/>
    <d v="2025-03-14T00:00:00"/>
    <s v="Refrigerator"/>
    <x v="4"/>
    <n v="1200"/>
    <n v="3"/>
    <n v="3600"/>
    <x v="0"/>
    <x v="8"/>
    <x v="2"/>
    <x v="2"/>
    <x v="0"/>
    <n v="3"/>
    <x v="0"/>
    <s v="Mid (2K-5K)"/>
    <s v="Medium (3-4)"/>
    <n v="1"/>
    <n v="0"/>
    <n v="0"/>
  </r>
  <r>
    <s v="ORD0233"/>
    <d v="2025-02-20T00:00:00"/>
    <s v="Running Shoes"/>
    <x v="0"/>
    <n v="60"/>
    <n v="1"/>
    <n v="60"/>
    <x v="5"/>
    <x v="6"/>
    <x v="3"/>
    <x v="0"/>
    <x v="1"/>
    <n v="2"/>
    <x v="0"/>
    <s v="Low (&lt;2K)"/>
    <s v="Small (1-2)"/>
    <n v="0"/>
    <n v="1"/>
    <n v="60"/>
  </r>
  <r>
    <s v="ORD0234"/>
    <d v="2025-03-08T00:00:00"/>
    <s v="Book"/>
    <x v="3"/>
    <n v="15"/>
    <n v="1"/>
    <n v="15"/>
    <x v="9"/>
    <x v="5"/>
    <x v="1"/>
    <x v="0"/>
    <x v="0"/>
    <n v="3"/>
    <x v="0"/>
    <s v="Low (&lt;2K)"/>
    <s v="Small (1-2)"/>
    <n v="0"/>
    <n v="1"/>
    <n v="15"/>
  </r>
  <r>
    <s v="ORD0235"/>
    <d v="2025-03-23T00:00:00"/>
    <s v="Refrigerator"/>
    <x v="4"/>
    <n v="1200"/>
    <n v="1"/>
    <n v="1200"/>
    <x v="7"/>
    <x v="3"/>
    <x v="3"/>
    <x v="2"/>
    <x v="0"/>
    <n v="3"/>
    <x v="0"/>
    <s v="Low (&lt;2K)"/>
    <s v="Small (1-2)"/>
    <n v="1"/>
    <n v="0"/>
    <n v="0"/>
  </r>
  <r>
    <s v="ORD0236"/>
    <d v="2025-03-05T00:00:00"/>
    <s v="Smartphone"/>
    <x v="1"/>
    <n v="500"/>
    <n v="5"/>
    <n v="2500"/>
    <x v="2"/>
    <x v="6"/>
    <x v="3"/>
    <x v="2"/>
    <x v="0"/>
    <n v="3"/>
    <x v="0"/>
    <s v="Mid (2K-5K)"/>
    <s v="Bulk (5+)"/>
    <n v="1"/>
    <n v="0"/>
    <n v="0"/>
  </r>
  <r>
    <s v="ORD0237"/>
    <d v="2025-02-11T00:00:00"/>
    <s v="Headphones"/>
    <x v="1"/>
    <n v="100"/>
    <n v="3"/>
    <n v="300"/>
    <x v="6"/>
    <x v="4"/>
    <x v="0"/>
    <x v="0"/>
    <x v="1"/>
    <n v="2"/>
    <x v="0"/>
    <s v="Low (&lt;2K)"/>
    <s v="Medium (3-4)"/>
    <n v="0"/>
    <n v="1"/>
    <n v="300"/>
  </r>
  <r>
    <s v="ORD0238"/>
    <d v="2025-03-16T00:00:00"/>
    <s v="Headphones"/>
    <x v="1"/>
    <n v="100"/>
    <n v="1"/>
    <n v="100"/>
    <x v="3"/>
    <x v="2"/>
    <x v="3"/>
    <x v="2"/>
    <x v="0"/>
    <n v="3"/>
    <x v="0"/>
    <s v="Low (&lt;2K)"/>
    <s v="Small (1-2)"/>
    <n v="1"/>
    <n v="0"/>
    <n v="0"/>
  </r>
  <r>
    <s v="ORD0239"/>
    <d v="2025-03-22T00:00:00"/>
    <s v="Smartwatch"/>
    <x v="1"/>
    <n v="150"/>
    <n v="5"/>
    <n v="750"/>
    <x v="7"/>
    <x v="4"/>
    <x v="1"/>
    <x v="2"/>
    <x v="0"/>
    <n v="3"/>
    <x v="0"/>
    <s v="Low (&lt;2K)"/>
    <s v="Bulk (5+)"/>
    <n v="1"/>
    <n v="0"/>
    <n v="0"/>
  </r>
  <r>
    <s v="ORD0240"/>
    <d v="2025-02-09T00:00:00"/>
    <s v="Smartwatch"/>
    <x v="1"/>
    <n v="150"/>
    <n v="1"/>
    <n v="150"/>
    <x v="2"/>
    <x v="2"/>
    <x v="4"/>
    <x v="1"/>
    <x v="1"/>
    <n v="2"/>
    <x v="0"/>
    <s v="Low (&lt;2K)"/>
    <s v="Small (1-2)"/>
    <n v="0"/>
    <n v="0"/>
    <n v="0"/>
  </r>
  <r>
    <s v="ORD0241"/>
    <d v="2025-03-30T00:00:00"/>
    <s v="Smartphone"/>
    <x v="1"/>
    <n v="500"/>
    <n v="4"/>
    <n v="2000"/>
    <x v="3"/>
    <x v="0"/>
    <x v="2"/>
    <x v="1"/>
    <x v="0"/>
    <n v="3"/>
    <x v="0"/>
    <s v="Mid (2K-5K)"/>
    <s v="Medium (3-4)"/>
    <n v="0"/>
    <n v="0"/>
    <n v="0"/>
  </r>
  <r>
    <s v="ORD0242"/>
    <d v="2025-03-08T00:00:00"/>
    <s v="Smartphone"/>
    <x v="1"/>
    <n v="500"/>
    <n v="4"/>
    <n v="2000"/>
    <x v="8"/>
    <x v="6"/>
    <x v="4"/>
    <x v="1"/>
    <x v="0"/>
    <n v="3"/>
    <x v="0"/>
    <s v="Mid (2K-5K)"/>
    <s v="Medium (3-4)"/>
    <n v="0"/>
    <n v="0"/>
    <n v="0"/>
  </r>
  <r>
    <s v="ORD0243"/>
    <d v="2025-03-05T00:00:00"/>
    <s v="Running Shoes"/>
    <x v="0"/>
    <n v="60"/>
    <n v="2"/>
    <n v="120"/>
    <x v="8"/>
    <x v="4"/>
    <x v="1"/>
    <x v="2"/>
    <x v="0"/>
    <n v="3"/>
    <x v="0"/>
    <s v="Low (&lt;2K)"/>
    <s v="Small (1-2)"/>
    <n v="1"/>
    <n v="0"/>
    <n v="0"/>
  </r>
  <r>
    <s v="ORD0244"/>
    <d v="2025-02-06T00:00:00"/>
    <s v="Smartphone"/>
    <x v="1"/>
    <n v="500"/>
    <n v="4"/>
    <n v="2000"/>
    <x v="0"/>
    <x v="4"/>
    <x v="2"/>
    <x v="2"/>
    <x v="1"/>
    <n v="2"/>
    <x v="0"/>
    <s v="Mid (2K-5K)"/>
    <s v="Medium (3-4)"/>
    <n v="1"/>
    <n v="0"/>
    <n v="0"/>
  </r>
  <r>
    <s v="ORD0245"/>
    <d v="2025-02-04T00:00:00"/>
    <s v="Laptop"/>
    <x v="1"/>
    <n v="800"/>
    <n v="1"/>
    <n v="800"/>
    <x v="6"/>
    <x v="8"/>
    <x v="2"/>
    <x v="0"/>
    <x v="1"/>
    <n v="2"/>
    <x v="0"/>
    <s v="Low (&lt;2K)"/>
    <s v="Small (1-2)"/>
    <n v="0"/>
    <n v="1"/>
    <n v="800"/>
  </r>
  <r>
    <s v="ORD0246"/>
    <d v="2025-03-17T00:00:00"/>
    <s v="T-Shirt"/>
    <x v="2"/>
    <n v="20"/>
    <n v="2"/>
    <n v="40"/>
    <x v="7"/>
    <x v="5"/>
    <x v="0"/>
    <x v="0"/>
    <x v="0"/>
    <n v="3"/>
    <x v="0"/>
    <s v="Low (&lt;2K)"/>
    <s v="Small (1-2)"/>
    <n v="0"/>
    <n v="1"/>
    <n v="40"/>
  </r>
  <r>
    <s v="ORD0247"/>
    <d v="2025-03-30T00:00:00"/>
    <s v="Jeans"/>
    <x v="2"/>
    <n v="40"/>
    <n v="1"/>
    <n v="40"/>
    <x v="4"/>
    <x v="3"/>
    <x v="0"/>
    <x v="0"/>
    <x v="0"/>
    <n v="3"/>
    <x v="0"/>
    <s v="Low (&lt;2K)"/>
    <s v="Small (1-2)"/>
    <n v="0"/>
    <n v="1"/>
    <n v="40"/>
  </r>
  <r>
    <s v="ORD0248"/>
    <d v="2025-03-05T00:00:00"/>
    <s v="T-Shirt"/>
    <x v="2"/>
    <n v="20"/>
    <n v="2"/>
    <n v="40"/>
    <x v="8"/>
    <x v="2"/>
    <x v="0"/>
    <x v="0"/>
    <x v="0"/>
    <n v="3"/>
    <x v="0"/>
    <s v="Low (&lt;2K)"/>
    <s v="Small (1-2)"/>
    <n v="0"/>
    <n v="1"/>
    <n v="40"/>
  </r>
  <r>
    <s v="ORD0249"/>
    <d v="2025-03-08T00:00:00"/>
    <s v="Smartwatch"/>
    <x v="1"/>
    <n v="150"/>
    <n v="3"/>
    <n v="450"/>
    <x v="1"/>
    <x v="0"/>
    <x v="0"/>
    <x v="0"/>
    <x v="0"/>
    <n v="3"/>
    <x v="0"/>
    <s v="Low (&lt;2K)"/>
    <s v="Medium (3-4)"/>
    <n v="0"/>
    <n v="1"/>
    <n v="450"/>
  </r>
  <r>
    <s v="ORD0250"/>
    <d v="2025-02-19T00:00:00"/>
    <s v="Smartphone"/>
    <x v="1"/>
    <n v="500"/>
    <n v="4"/>
    <n v="2000"/>
    <x v="1"/>
    <x v="7"/>
    <x v="1"/>
    <x v="2"/>
    <x v="1"/>
    <n v="2"/>
    <x v="0"/>
    <s v="Mid (2K-5K)"/>
    <s v="Medium (3-4)"/>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88403-C8FF-40CF-9326-99CA663F11D1}"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81:B84" firstHeaderRow="1" firstDataRow="1" firstDataCol="1"/>
  <pivotFields count="19">
    <pivotField showAll="0"/>
    <pivotField numFmtId="14" showAll="0"/>
    <pivotField showAll="0"/>
    <pivotField showAll="0">
      <items count="6">
        <item x="3"/>
        <item x="2"/>
        <item x="1"/>
        <item x="0"/>
        <item x="4"/>
        <item t="default"/>
      </items>
    </pivotField>
    <pivotField showAll="0"/>
    <pivotField showAll="0"/>
    <pivotField dataField="1" showAll="0"/>
    <pivotField showAll="0"/>
    <pivotField showAll="0"/>
    <pivotField showAll="0">
      <items count="6">
        <item x="1"/>
        <item x="2"/>
        <item x="0"/>
        <item x="4"/>
        <item x="3"/>
        <item t="default"/>
      </items>
    </pivotField>
    <pivotField showAll="0">
      <items count="4">
        <item x="0"/>
        <item x="2"/>
        <item x="1"/>
        <item t="default"/>
      </items>
    </pivotField>
    <pivotField showAll="0"/>
    <pivotField numFmtId="1" showAll="0"/>
    <pivotField axis="axisRow" showAll="0">
      <items count="3">
        <item x="0"/>
        <item x="1"/>
        <item t="default"/>
      </items>
    </pivotField>
    <pivotField showAll="0"/>
    <pivotField showAll="0"/>
    <pivotField showAll="0"/>
    <pivotField showAll="0"/>
    <pivotField showAll="0"/>
  </pivotFields>
  <rowFields count="1">
    <field x="13"/>
  </rowFields>
  <rowItems count="3">
    <i>
      <x/>
    </i>
    <i>
      <x v="1"/>
    </i>
    <i t="grand">
      <x/>
    </i>
  </rowItems>
  <colItems count="1">
    <i/>
  </colItems>
  <dataFields count="1">
    <dataField name="Sum of Total Sales" fld="6" baseField="0" baseItem="0"/>
  </dataFields>
  <chartFormats count="2">
    <chartFormat chart="35"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6ED253-9B85-49B8-8C7F-16C0B6CA5EFC}"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Categories">
  <location ref="A71:E78" firstHeaderRow="1" firstDataRow="2" firstDataCol="1"/>
  <pivotFields count="19">
    <pivotField dataField="1" showAll="0"/>
    <pivotField numFmtId="14" showAll="0"/>
    <pivotField showAll="0"/>
    <pivotField axis="axisRow" showAll="0">
      <items count="6">
        <item x="3"/>
        <item x="2"/>
        <item x="1"/>
        <item x="0"/>
        <item x="4"/>
        <item t="default"/>
      </items>
    </pivotField>
    <pivotField showAll="0"/>
    <pivotField showAll="0"/>
    <pivotField showAll="0"/>
    <pivotField showAll="0"/>
    <pivotField showAll="0"/>
    <pivotField showAll="0"/>
    <pivotField axis="axisCol" showAll="0">
      <items count="4">
        <item x="0"/>
        <item x="2"/>
        <item x="1"/>
        <item t="default"/>
      </items>
    </pivotField>
    <pivotField showAll="0"/>
    <pivotField numFmtId="1"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0"/>
  </colFields>
  <colItems count="4">
    <i>
      <x/>
    </i>
    <i>
      <x v="1"/>
    </i>
    <i>
      <x v="2"/>
    </i>
    <i t="grand">
      <x/>
    </i>
  </colItems>
  <dataFields count="1">
    <dataField name="Count of Order ID" fld="0" subtotal="count" baseField="0" baseItem="0"/>
  </dataFields>
  <formats count="13">
    <format dxfId="21">
      <pivotArea field="3" type="button" dataOnly="0" labelOnly="1" outline="0" axis="axisRow" fieldPosition="0"/>
    </format>
    <format dxfId="20">
      <pivotArea dataOnly="0" labelOnly="1" fieldPosition="0">
        <references count="1">
          <reference field="10" count="0"/>
        </references>
      </pivotArea>
    </format>
    <format dxfId="19">
      <pivotArea dataOnly="0" labelOnly="1" grandCol="1" outline="0" fieldPosition="0"/>
    </format>
    <format dxfId="18">
      <pivotArea dataOnly="0" labelOnly="1" grandRow="1" outline="0" fieldPosition="0"/>
    </format>
    <format dxfId="17">
      <pivotArea field="3" type="button" dataOnly="0" labelOnly="1" outline="0" axis="axisRow" fieldPosition="0"/>
    </format>
    <format dxfId="16">
      <pivotArea dataOnly="0" labelOnly="1" fieldPosition="0">
        <references count="1">
          <reference field="10" count="0"/>
        </references>
      </pivotArea>
    </format>
    <format dxfId="15">
      <pivotArea dataOnly="0" labelOnly="1" grandCol="1" outline="0" fieldPosition="0"/>
    </format>
    <format dxfId="14">
      <pivotArea dataOnly="0" labelOnly="1" grandRow="1" outline="0" fieldPosition="0"/>
    </format>
    <format dxfId="13">
      <pivotArea field="10" grandRow="1" outline="0" collapsedLevelsAreSubtotals="1" axis="axisCol" fieldPosition="0">
        <references count="1">
          <reference field="10" count="0" selected="0"/>
        </references>
      </pivotArea>
    </format>
    <format dxfId="12">
      <pivotArea grandRow="1" grandCol="1" outline="0" collapsedLevelsAreSubtotals="1" fieldPosition="0"/>
    </format>
    <format dxfId="11">
      <pivotArea grandRow="1" grandCol="1" outline="0" collapsedLevelsAreSubtotals="1" fieldPosition="0"/>
    </format>
    <format dxfId="10">
      <pivotArea grandRow="1" grandCol="1" outline="0" collapsedLevelsAreSubtotals="1" fieldPosition="0"/>
    </format>
    <format dxfId="9">
      <pivotArea collapsedLevelsAreSubtotals="1" fieldPosition="0">
        <references count="2">
          <reference field="3" count="1">
            <x v="2"/>
          </reference>
          <reference field="10"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C50F1E-2D19-4E17-A469-0E77F96C3CBB}"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57:B68" firstHeaderRow="1" firstDataRow="1" firstDataCol="1"/>
  <pivotFields count="19">
    <pivotField showAll="0"/>
    <pivotField numFmtId="14" showAll="0"/>
    <pivotField showAll="0"/>
    <pivotField showAll="0"/>
    <pivotField showAll="0"/>
    <pivotField showAll="0"/>
    <pivotField dataField="1" showAll="0"/>
    <pivotField axis="axisRow" showAll="0" measureFilter="1"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 showAll="0"/>
    <pivotField showAll="0"/>
    <pivotField showAll="0"/>
    <pivotField showAll="0"/>
    <pivotField showAll="0"/>
  </pivotFields>
  <rowFields count="1">
    <field x="7"/>
  </rowFields>
  <rowItems count="11">
    <i>
      <x v="8"/>
    </i>
    <i>
      <x v="5"/>
    </i>
    <i>
      <x v="4"/>
    </i>
    <i>
      <x v="6"/>
    </i>
    <i>
      <x v="3"/>
    </i>
    <i>
      <x v="2"/>
    </i>
    <i>
      <x v="7"/>
    </i>
    <i>
      <x v="1"/>
    </i>
    <i>
      <x/>
    </i>
    <i>
      <x v="9"/>
    </i>
    <i t="grand">
      <x/>
    </i>
  </rowItems>
  <colItems count="1">
    <i/>
  </colItems>
  <dataFields count="1">
    <dataField name="Sum of Total Sales" fld="6" baseField="0" baseItem="0"/>
  </dataFields>
  <chartFormats count="2">
    <chartFormat chart="29" format="1"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4C638-D35A-4579-972B-10927A956C6C}"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48:B54" firstHeaderRow="1" firstDataRow="1" firstDataCol="1"/>
  <pivotFields count="19">
    <pivotField dataField="1" showAll="0"/>
    <pivotField numFmtId="14" showAll="0"/>
    <pivotField showAll="0"/>
    <pivotField showAll="0"/>
    <pivotField showAll="0"/>
    <pivotField showAll="0"/>
    <pivotField showAll="0"/>
    <pivotField showAll="0"/>
    <pivotField showAll="0"/>
    <pivotField axis="axisRow" showAll="0">
      <items count="6">
        <item x="1"/>
        <item x="2"/>
        <item x="0"/>
        <item x="4"/>
        <item x="3"/>
        <item t="default"/>
      </items>
    </pivotField>
    <pivotField showAll="0"/>
    <pivotField showAll="0"/>
    <pivotField numFmtId="1"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Order ID" fld="0" subtotal="count" baseField="0" baseItem="0"/>
  </dataFields>
  <chartFormats count="7">
    <chartFormat chart="26" format="0"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 chart="31" format="8">
      <pivotArea type="data" outline="0" fieldPosition="0">
        <references count="2">
          <reference field="4294967294" count="1" selected="0">
            <x v="0"/>
          </reference>
          <reference field="9" count="1" selected="0">
            <x v="0"/>
          </reference>
        </references>
      </pivotArea>
    </chartFormat>
    <chartFormat chart="31" format="9">
      <pivotArea type="data" outline="0" fieldPosition="0">
        <references count="2">
          <reference field="4294967294" count="1" selected="0">
            <x v="0"/>
          </reference>
          <reference field="9" count="1" selected="0">
            <x v="1"/>
          </reference>
        </references>
      </pivotArea>
    </chartFormat>
    <chartFormat chart="31" format="10">
      <pivotArea type="data" outline="0" fieldPosition="0">
        <references count="2">
          <reference field="4294967294" count="1" selected="0">
            <x v="0"/>
          </reference>
          <reference field="9" count="1" selected="0">
            <x v="2"/>
          </reference>
        </references>
      </pivotArea>
    </chartFormat>
    <chartFormat chart="31" format="11">
      <pivotArea type="data" outline="0" fieldPosition="0">
        <references count="2">
          <reference field="4294967294" count="1" selected="0">
            <x v="0"/>
          </reference>
          <reference field="9" count="1" selected="0">
            <x v="3"/>
          </reference>
        </references>
      </pivotArea>
    </chartFormat>
    <chartFormat chart="31"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E9C549-606D-4924-BCF9-8364E25927C2}"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4:B45" firstHeaderRow="1" firstDataRow="1" firstDataCol="1"/>
  <pivotFields count="19">
    <pivotField showAll="0"/>
    <pivotField numFmtId="14" showAll="0"/>
    <pivotField showAll="0"/>
    <pivotField showAll="0"/>
    <pivotField showAll="0"/>
    <pivotField showAll="0"/>
    <pivotField dataField="1" showAll="0"/>
    <pivotField showAll="0"/>
    <pivotField axis="axisRow" showAll="0" measureFilter="1"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showAll="0"/>
    <pivotField showAll="0"/>
    <pivotField showAll="0"/>
    <pivotField showAll="0"/>
  </pivotFields>
  <rowFields count="1">
    <field x="8"/>
  </rowFields>
  <rowItems count="11">
    <i>
      <x v="6"/>
    </i>
    <i>
      <x v="3"/>
    </i>
    <i>
      <x v="4"/>
    </i>
    <i>
      <x v="2"/>
    </i>
    <i>
      <x v="9"/>
    </i>
    <i>
      <x/>
    </i>
    <i>
      <x v="1"/>
    </i>
    <i>
      <x v="7"/>
    </i>
    <i>
      <x v="5"/>
    </i>
    <i>
      <x v="8"/>
    </i>
    <i t="grand">
      <x/>
    </i>
  </rowItems>
  <colItems count="1">
    <i/>
  </colItems>
  <dataFields count="1">
    <dataField name="Sum of Total Sales" fld="6" baseField="0" baseItem="0"/>
  </dataFields>
  <chartFormats count="2">
    <chartFormat chart="19"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1663A-4DD7-43E9-8BF5-5A89EC6C68E7}"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7:B31" firstHeaderRow="1" firstDataRow="1" firstDataCol="1"/>
  <pivotFields count="19">
    <pivotField showAll="0"/>
    <pivotField numFmtId="14" showAll="0"/>
    <pivotField showAll="0"/>
    <pivotField showAll="0"/>
    <pivotField showAll="0"/>
    <pivotField showAll="0"/>
    <pivotField dataField="1" showAll="0"/>
    <pivotField showAll="0"/>
    <pivotField showAll="0"/>
    <pivotField showAll="0"/>
    <pivotField axis="axisRow" showAll="0">
      <items count="4">
        <item x="0"/>
        <item x="2"/>
        <item x="1"/>
        <item t="default"/>
      </items>
    </pivotField>
    <pivotField showAll="0"/>
    <pivotField numFmtId="1"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Total Sales2" fld="6" showDataAs="percentOfTotal" baseField="10" baseItem="0" numFmtId="10"/>
  </dataFields>
  <chartFormats count="5">
    <chartFormat chart="13" format="2"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0" count="1" selected="0">
            <x v="0"/>
          </reference>
        </references>
      </pivotArea>
    </chartFormat>
    <chartFormat chart="25" format="10">
      <pivotArea type="data" outline="0" fieldPosition="0">
        <references count="2">
          <reference field="4294967294" count="1" selected="0">
            <x v="0"/>
          </reference>
          <reference field="10" count="1" selected="0">
            <x v="1"/>
          </reference>
        </references>
      </pivotArea>
    </chartFormat>
    <chartFormat chart="25"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5016EE-5CEA-4009-BAD9-030B67B42116}"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8:C24" firstHeaderRow="0" firstDataRow="1" firstDataCol="1"/>
  <pivotFields count="19">
    <pivotField showAll="0"/>
    <pivotField numFmtId="14" showAll="0"/>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pivotField showAll="0"/>
    <pivotField showAll="0"/>
    <pivotField showAll="0"/>
    <pivotField numFmtId="1" showAll="0"/>
    <pivotField showAll="0"/>
    <pivotField showAll="0"/>
    <pivotField showAll="0"/>
    <pivotField showAll="0"/>
    <pivotField showAll="0"/>
    <pivotField showAll="0"/>
  </pivotFields>
  <rowFields count="1">
    <field x="3"/>
  </rowFields>
  <rowItems count="6">
    <i>
      <x v="2"/>
    </i>
    <i>
      <x v="4"/>
    </i>
    <i>
      <x v="3"/>
    </i>
    <i>
      <x v="1"/>
    </i>
    <i>
      <x/>
    </i>
    <i t="grand">
      <x/>
    </i>
  </rowItems>
  <colFields count="1">
    <field x="-2"/>
  </colFields>
  <colItems count="2">
    <i>
      <x/>
    </i>
    <i i="1">
      <x v="1"/>
    </i>
  </colItems>
  <dataFields count="2">
    <dataField name="Sum of Total Sales" fld="6" baseField="0" baseItem="0"/>
    <dataField name="Average of Price" fld="4" subtotal="average" baseField="3" baseItem="0" numFmtId="2"/>
  </dataFields>
  <chartFormats count="4">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963E55-110F-4B5F-A9EA-5000A3757559}"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C15" firstHeaderRow="0" firstDataRow="1" firstDataCol="1"/>
  <pivotFields count="19">
    <pivotField dataField="1" showAll="0"/>
    <pivotField numFmtId="14" showAll="0"/>
    <pivotField showAll="0"/>
    <pivotField showAll="0"/>
    <pivotField showAll="0"/>
    <pivotField showAll="0"/>
    <pivotField dataField="1" showAll="0"/>
    <pivotField showAll="0"/>
    <pivotField showAll="0"/>
    <pivotField showAll="0"/>
    <pivotField showAll="0"/>
    <pivotField axis="axisRow" showAll="0" sortType="descending">
      <items count="7">
        <item m="1" x="5"/>
        <item m="1" x="4"/>
        <item m="1" x="3"/>
        <item x="0"/>
        <item x="1"/>
        <item x="2"/>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s>
  <rowFields count="1">
    <field x="11"/>
  </rowFields>
  <rowItems count="4">
    <i>
      <x v="4"/>
    </i>
    <i>
      <x v="3"/>
    </i>
    <i>
      <x v="5"/>
    </i>
    <i t="grand">
      <x/>
    </i>
  </rowItems>
  <colFields count="1">
    <field x="-2"/>
  </colFields>
  <colItems count="2">
    <i>
      <x/>
    </i>
    <i i="1">
      <x v="1"/>
    </i>
  </colItems>
  <dataFields count="2">
    <dataField name="Sum of Total Sales" fld="6" baseField="0" baseItem="0"/>
    <dataField name="Count of Orders"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67F94B-C12B-40C0-9A2E-991E92AD3647}"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pivotFields count="19">
    <pivotField showAll="0"/>
    <pivotField numFmtId="14" showAll="0"/>
    <pivotField showAll="0"/>
    <pivotField showAll="0"/>
    <pivotField showAll="0"/>
    <pivotField showAll="0"/>
    <pivotField dataField="1" showAll="0"/>
    <pivotField showAll="0"/>
    <pivotField showAll="0"/>
    <pivotField showAll="0"/>
    <pivotField showAll="0"/>
    <pivotField axis="axisRow" showAll="0" sortType="descending">
      <items count="7">
        <item m="1" x="5"/>
        <item m="1" x="4"/>
        <item m="1" x="3"/>
        <item x="0"/>
        <item x="1"/>
        <item x="2"/>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s>
  <rowFields count="1">
    <field x="11"/>
  </rowFields>
  <rowItems count="4">
    <i>
      <x v="4"/>
    </i>
    <i>
      <x v="3"/>
    </i>
    <i>
      <x v="5"/>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ECFF43-B237-4B21-BD41-2D628D1A5379}" sourceName="Category">
  <pivotTables>
    <pivotTable tabId="3" name="PivotTable9"/>
  </pivotTables>
  <data>
    <tabular pivotCacheId="648087304">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6276A5B-395B-49F3-8869-6EF98F586831}" sourceName="Payment Method">
  <pivotTables>
    <pivotTable tabId="3" name="PivotTable9"/>
  </pivotTables>
  <data>
    <tabular pivotCacheId="648087304">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699F3DB-3CB5-4574-AE2D-B0FDB258D89C}" sourceName="Status">
  <pivotTables>
    <pivotTable tabId="3" name="PivotTable9"/>
  </pivotTables>
  <data>
    <tabular pivotCacheId="64808730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CE4A94F-4116-47F2-85EA-9186F9B27AE7}" sourceName="Quarter">
  <pivotTables>
    <pivotTable tabId="3" name="PivotTable9"/>
  </pivotTables>
  <data>
    <tabular pivotCacheId="6480873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4B702D-00E4-4FDB-8BB4-7B7DECE6EF69}" cache="Slicer_Category" caption="Category" rowHeight="216000"/>
  <slicer name="Payment Method" xr10:uid="{14AF6B1C-44A9-4415-94C6-958D0D863D4D}" cache="Slicer_Payment_Method" caption="Payment Method" rowHeight="216000"/>
  <slicer name="Status" xr10:uid="{BEB7081B-E5A0-4BAB-BD3F-F42570339428}" cache="Slicer_Status" caption="Status" rowHeight="216000"/>
  <slicer name="Quarter" xr10:uid="{28B40846-3DF6-44CD-8C31-B928200EACDC}" cache="Slicer_Quarter" caption="Quarter"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66F7204-F7BC-4821-95BA-2F705E6202F5}" cache="Slicer_Category" caption="Category" style="SlicerStyleLight2" rowHeight="216000"/>
  <slicer name="Payment Method 1" xr10:uid="{D0DA6416-AAE1-40B3-9977-0DBD013E87F0}" cache="Slicer_Payment_Method" caption="Payment Method" style="SlicerStyleLight2" rowHeight="216000"/>
  <slicer name="Status 1" xr10:uid="{AFCCC8F8-739A-4051-8F3F-C34FA5C7ACE0}" cache="Slicer_Status" caption="Status" style="SlicerStyleLight2" rowHeight="216000"/>
  <slicer name="Quarter 1" xr10:uid="{68FFF723-9029-4482-9C3B-DC4E02ADA005}" cache="Slicer_Quarter" caption="Quarter"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D280C4-6E31-446D-AC45-299DCEDC1F75}" name="Table1" displayName="Table1" ref="A1:S252" totalsRowCount="1" headerRowDxfId="24">
  <autoFilter ref="A1:S251" xr:uid="{4CD280C4-6E31-446D-AC45-299DCEDC1F75}"/>
  <tableColumns count="19">
    <tableColumn id="1" xr3:uid="{FCAD549A-DA1F-42B6-864A-AF89D40084CA}" name="Order ID"/>
    <tableColumn id="2" xr3:uid="{E9FF5185-5342-470A-85B7-5DDE7553F7E6}" name="Date" dataDxfId="23" totalsRowDxfId="8"/>
    <tableColumn id="3" xr3:uid="{929BA04E-7BE9-4DCF-A9FB-FD39960B75DB}" name="Product"/>
    <tableColumn id="4" xr3:uid="{B4AA5C15-E5ED-41AF-98F7-6115F9354FF0}" name="Category"/>
    <tableColumn id="5" xr3:uid="{17D5E2B3-9B8F-47D0-AC48-84EFC06871F9}" name="Price"/>
    <tableColumn id="6" xr3:uid="{29242CE4-80BA-4487-8BB2-5C07ED7F36B0}" name="Quantity"/>
    <tableColumn id="7" xr3:uid="{9502392F-E024-4BB0-9576-C9932B55A8CF}" name="Total Sales"/>
    <tableColumn id="8" xr3:uid="{E28A6B2E-9CE5-4D4E-B59F-B8CBD0512CC5}" name="Customer Name"/>
    <tableColumn id="9" xr3:uid="{DC8ACC96-B08E-4DC3-8D31-2F17D35FDE1F}" name="Customer Location"/>
    <tableColumn id="10" xr3:uid="{977E0A06-18F8-4CDF-BEE7-665B91EF21B7}" name="Payment Method"/>
    <tableColumn id="11" xr3:uid="{21C6F6F9-C1C1-4B32-854C-D44B44E30BA2}" name="Status"/>
    <tableColumn id="12" xr3:uid="{AAE52D66-E17E-4B4E-9675-67D847E05ECE}" name="Month" dataDxfId="5" totalsRowDxfId="7">
      <calculatedColumnFormula>TEXT(B2,"MMMM")</calculatedColumnFormula>
    </tableColumn>
    <tableColumn id="13" xr3:uid="{FF63F838-93F1-4CBF-92A6-7AED338A01E3}" name="Month Number" dataDxfId="22" totalsRowDxfId="6">
      <calculatedColumnFormula>MONTH(B2)</calculatedColumnFormula>
    </tableColumn>
    <tableColumn id="14" xr3:uid="{9A17A836-DC2F-421D-AB1A-1DD96ADF34A1}" name="Quarter">
      <calculatedColumnFormula>IF(MONTH(B2)&lt;=3,"Q1",IF(MONTH(B2)&lt;=6,"Q2",IF(MONTH(B2)&lt;=9,"Q3","Q4")))</calculatedColumnFormula>
    </tableColumn>
    <tableColumn id="15" xr3:uid="{14EFC79B-1D60-44B3-87DF-6367928CA875}" name="Revenue Bucket">
      <calculatedColumnFormula>IF(G2&gt;=5000,"High (≥5K)",IF(G2&gt;=2000,"Mid (2K-5K)","Low (&lt;2K)"))</calculatedColumnFormula>
    </tableColumn>
    <tableColumn id="16" xr3:uid="{BD9D2A27-72C2-4B63-80E4-7327FCCDF1DC}" name="Order Size">
      <calculatedColumnFormula>IF(F2&gt;=5,"Bulk (5+)",IF(F2&gt;=3,"Medium (3-4)","Small (1-2)"))</calculatedColumnFormula>
    </tableColumn>
    <tableColumn id="17" xr3:uid="{3321472F-D949-4C47-A160-EAB734A923E9}" name="Is Completed">
      <calculatedColumnFormula>IF(K2="Completed",1,0)</calculatedColumnFormula>
    </tableColumn>
    <tableColumn id="18" xr3:uid="{52E7706A-6742-474C-90C2-38505F663DF4}" name="Is Cancelled">
      <calculatedColumnFormula>IF(K2="Cancelled",1,0)</calculatedColumnFormula>
    </tableColumn>
    <tableColumn id="19" xr3:uid="{1B41738C-B558-4252-98D9-FDCB76C11482}" name="Revenue Lost">
      <calculatedColumnFormula>IF(K2="Cancelled",G2,0)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C0FD-7E56-4FF9-BD27-2D16EE6FEFB1}">
  <sheetPr>
    <tabColor theme="9" tint="0.79998168889431442"/>
  </sheetPr>
  <dimension ref="A1:S252"/>
  <sheetViews>
    <sheetView workbookViewId="0">
      <selection activeCell="L3" sqref="L3"/>
    </sheetView>
  </sheetViews>
  <sheetFormatPr defaultRowHeight="14.4" x14ac:dyDescent="0.3"/>
  <cols>
    <col min="1" max="1" width="10.109375" bestFit="1" customWidth="1"/>
    <col min="2" max="2" width="10.33203125" bestFit="1" customWidth="1"/>
    <col min="3" max="3" width="15.44140625" bestFit="1" customWidth="1"/>
    <col min="4" max="4" width="15.109375" bestFit="1" customWidth="1"/>
    <col min="5" max="5" width="7.21875" bestFit="1" customWidth="1"/>
    <col min="6" max="6" width="10.21875" bestFit="1" customWidth="1"/>
    <col min="7" max="7" width="12" bestFit="1" customWidth="1"/>
    <col min="8" max="8" width="16.5546875" bestFit="1" customWidth="1"/>
    <col min="9" max="9" width="18.77734375" bestFit="1" customWidth="1"/>
    <col min="10" max="10" width="17.6640625" customWidth="1"/>
    <col min="11" max="11" width="9.88671875" bestFit="1" customWidth="1"/>
    <col min="12" max="12" width="12.77734375" bestFit="1" customWidth="1"/>
    <col min="13" max="13" width="16" customWidth="1"/>
    <col min="14" max="14" width="9.33203125" customWidth="1"/>
    <col min="15" max="15" width="16.44140625" customWidth="1"/>
    <col min="16" max="16" width="11.88671875" bestFit="1" customWidth="1"/>
    <col min="17" max="17" width="13.88671875" customWidth="1"/>
    <col min="18" max="18" width="12.77734375" customWidth="1"/>
    <col min="19" max="19" width="14.109375" customWidth="1"/>
  </cols>
  <sheetData>
    <row r="1" spans="1:19" s="6" customFormat="1" x14ac:dyDescent="0.3">
      <c r="A1" s="4" t="s">
        <v>0</v>
      </c>
      <c r="B1" s="4" t="s">
        <v>1</v>
      </c>
      <c r="C1" s="4" t="s">
        <v>2</v>
      </c>
      <c r="D1" s="4" t="s">
        <v>3</v>
      </c>
      <c r="E1" s="4" t="s">
        <v>4</v>
      </c>
      <c r="F1" s="4" t="s">
        <v>5</v>
      </c>
      <c r="G1" s="4" t="s">
        <v>6</v>
      </c>
      <c r="H1" s="4" t="s">
        <v>7</v>
      </c>
      <c r="I1" s="4" t="s">
        <v>8</v>
      </c>
      <c r="J1" s="4" t="s">
        <v>9</v>
      </c>
      <c r="K1" s="4" t="s">
        <v>10</v>
      </c>
      <c r="L1" s="5" t="s">
        <v>312</v>
      </c>
      <c r="M1" s="5" t="s">
        <v>313</v>
      </c>
      <c r="N1" s="5" t="s">
        <v>314</v>
      </c>
      <c r="O1" s="5" t="s">
        <v>315</v>
      </c>
      <c r="P1" s="5" t="s">
        <v>316</v>
      </c>
      <c r="Q1" s="5" t="s">
        <v>317</v>
      </c>
      <c r="R1" s="5" t="s">
        <v>318</v>
      </c>
      <c r="S1" s="5" t="s">
        <v>319</v>
      </c>
    </row>
    <row r="2" spans="1:19" x14ac:dyDescent="0.3">
      <c r="A2" t="s">
        <v>11</v>
      </c>
      <c r="B2" s="1">
        <v>45730</v>
      </c>
      <c r="C2" t="s">
        <v>12</v>
      </c>
      <c r="D2" t="s">
        <v>13</v>
      </c>
      <c r="E2">
        <v>60</v>
      </c>
      <c r="F2">
        <v>3</v>
      </c>
      <c r="G2">
        <v>180</v>
      </c>
      <c r="H2" t="s">
        <v>14</v>
      </c>
      <c r="I2" t="s">
        <v>15</v>
      </c>
      <c r="J2" t="s">
        <v>16</v>
      </c>
      <c r="K2" t="s">
        <v>17</v>
      </c>
      <c r="L2" s="1" t="str">
        <f t="shared" ref="L2:L65" si="0">TEXT(B2,"MMMM")</f>
        <v>March</v>
      </c>
      <c r="M2" s="3">
        <f>MONTH(B2)</f>
        <v>3</v>
      </c>
      <c r="N2" t="str">
        <f>IF(MONTH(B2)&lt;=3,"Q1",IF(MONTH(B2)&lt;=6,"Q2",IF(MONTH(B2)&lt;=9,"Q3","Q4")))</f>
        <v>Q1</v>
      </c>
      <c r="O2" t="str">
        <f>IF(G2&gt;=5000,"High (≥5K)",IF(G2&gt;=2000,"Mid (2K-5K)","Low (&lt;2K)"))</f>
        <v>Low (&lt;2K)</v>
      </c>
      <c r="P2" t="str">
        <f>IF(F2&gt;=5,"Bulk (5+)",IF(F2&gt;=3,"Medium (3-4)","Small (1-2)"))</f>
        <v>Medium (3-4)</v>
      </c>
      <c r="Q2">
        <f>IF(K2="Completed",1,0)</f>
        <v>0</v>
      </c>
      <c r="R2">
        <f>IF(K2="Cancelled",1,0)</f>
        <v>1</v>
      </c>
      <c r="S2">
        <f>IF(K2="Cancelled",G2,0)</f>
        <v>180</v>
      </c>
    </row>
    <row r="3" spans="1:19" x14ac:dyDescent="0.3">
      <c r="A3" t="s">
        <v>18</v>
      </c>
      <c r="B3" s="1">
        <v>45736</v>
      </c>
      <c r="C3" t="s">
        <v>19</v>
      </c>
      <c r="D3" t="s">
        <v>20</v>
      </c>
      <c r="E3">
        <v>100</v>
      </c>
      <c r="F3">
        <v>4</v>
      </c>
      <c r="G3">
        <v>400</v>
      </c>
      <c r="H3" t="s">
        <v>21</v>
      </c>
      <c r="I3" t="s">
        <v>22</v>
      </c>
      <c r="J3" t="s">
        <v>16</v>
      </c>
      <c r="K3" t="s">
        <v>23</v>
      </c>
      <c r="L3" s="1" t="str">
        <f t="shared" si="0"/>
        <v>March</v>
      </c>
      <c r="M3" s="3">
        <f t="shared" ref="M3:M66" si="1">MONTH(B3)</f>
        <v>3</v>
      </c>
      <c r="N3" t="str">
        <f t="shared" ref="N3:N66" si="2">IF(MONTH(B3)&lt;=3,"Q1",IF(MONTH(B3)&lt;=6,"Q2",IF(MONTH(B3)&lt;=9,"Q3","Q4")))</f>
        <v>Q1</v>
      </c>
      <c r="O3" t="str">
        <f t="shared" ref="O3:O66" si="3">IF(G3&gt;=5000,"High (≥5K)",IF(G3&gt;=2000,"Mid (2K-5K)","Low (&lt;2K)"))</f>
        <v>Low (&lt;2K)</v>
      </c>
      <c r="P3" t="str">
        <f t="shared" ref="P3:P66" si="4">IF(F3&gt;=5,"Bulk (5+)",IF(F3&gt;=3,"Medium (3-4)","Small (1-2)"))</f>
        <v>Medium (3-4)</v>
      </c>
      <c r="Q3">
        <f t="shared" ref="Q3:Q66" si="5">IF(K3="Completed",1,0)</f>
        <v>0</v>
      </c>
      <c r="R3">
        <f t="shared" ref="R3:R66" si="6">IF(K3="Cancelled",1,0)</f>
        <v>0</v>
      </c>
      <c r="S3">
        <f t="shared" ref="S3:S66" si="7">IF(K3="Cancelled",G3,0)</f>
        <v>0</v>
      </c>
    </row>
    <row r="4" spans="1:19" x14ac:dyDescent="0.3">
      <c r="A4" t="s">
        <v>24</v>
      </c>
      <c r="B4" s="1">
        <v>45703</v>
      </c>
      <c r="C4" t="s">
        <v>12</v>
      </c>
      <c r="D4" t="s">
        <v>13</v>
      </c>
      <c r="E4">
        <v>60</v>
      </c>
      <c r="F4">
        <v>2</v>
      </c>
      <c r="G4">
        <v>120</v>
      </c>
      <c r="H4" t="s">
        <v>25</v>
      </c>
      <c r="I4" t="s">
        <v>26</v>
      </c>
      <c r="J4" t="s">
        <v>27</v>
      </c>
      <c r="K4" t="s">
        <v>17</v>
      </c>
      <c r="L4" s="1" t="str">
        <f t="shared" si="0"/>
        <v>February</v>
      </c>
      <c r="M4" s="3">
        <f t="shared" si="1"/>
        <v>2</v>
      </c>
      <c r="N4" t="str">
        <f t="shared" si="2"/>
        <v>Q1</v>
      </c>
      <c r="O4" t="str">
        <f t="shared" si="3"/>
        <v>Low (&lt;2K)</v>
      </c>
      <c r="P4" t="str">
        <f t="shared" si="4"/>
        <v>Small (1-2)</v>
      </c>
      <c r="Q4">
        <f t="shared" si="5"/>
        <v>0</v>
      </c>
      <c r="R4">
        <f t="shared" si="6"/>
        <v>1</v>
      </c>
      <c r="S4">
        <f t="shared" si="7"/>
        <v>120</v>
      </c>
    </row>
    <row r="5" spans="1:19" x14ac:dyDescent="0.3">
      <c r="A5" t="s">
        <v>28</v>
      </c>
      <c r="B5" s="1">
        <v>45707</v>
      </c>
      <c r="C5" t="s">
        <v>12</v>
      </c>
      <c r="D5" t="s">
        <v>13</v>
      </c>
      <c r="E5">
        <v>60</v>
      </c>
      <c r="F5">
        <v>3</v>
      </c>
      <c r="G5">
        <v>180</v>
      </c>
      <c r="H5" t="s">
        <v>29</v>
      </c>
      <c r="I5" t="s">
        <v>30</v>
      </c>
      <c r="J5" t="s">
        <v>31</v>
      </c>
      <c r="K5" t="s">
        <v>23</v>
      </c>
      <c r="L5" s="1" t="str">
        <f t="shared" si="0"/>
        <v>February</v>
      </c>
      <c r="M5" s="3">
        <f t="shared" si="1"/>
        <v>2</v>
      </c>
      <c r="N5" t="str">
        <f t="shared" si="2"/>
        <v>Q1</v>
      </c>
      <c r="O5" t="str">
        <f t="shared" si="3"/>
        <v>Low (&lt;2K)</v>
      </c>
      <c r="P5" t="str">
        <f t="shared" si="4"/>
        <v>Medium (3-4)</v>
      </c>
      <c r="Q5">
        <f t="shared" si="5"/>
        <v>0</v>
      </c>
      <c r="R5">
        <f t="shared" si="6"/>
        <v>0</v>
      </c>
      <c r="S5">
        <f t="shared" si="7"/>
        <v>0</v>
      </c>
    </row>
    <row r="6" spans="1:19" x14ac:dyDescent="0.3">
      <c r="A6" t="s">
        <v>32</v>
      </c>
      <c r="B6" s="1">
        <v>45726</v>
      </c>
      <c r="C6" t="s">
        <v>33</v>
      </c>
      <c r="D6" t="s">
        <v>20</v>
      </c>
      <c r="E6">
        <v>150</v>
      </c>
      <c r="F6">
        <v>3</v>
      </c>
      <c r="G6">
        <v>450</v>
      </c>
      <c r="H6" t="s">
        <v>14</v>
      </c>
      <c r="I6" t="s">
        <v>15</v>
      </c>
      <c r="J6" t="s">
        <v>16</v>
      </c>
      <c r="K6" t="s">
        <v>23</v>
      </c>
      <c r="L6" s="1" t="str">
        <f t="shared" si="0"/>
        <v>March</v>
      </c>
      <c r="M6" s="3">
        <f t="shared" si="1"/>
        <v>3</v>
      </c>
      <c r="N6" t="str">
        <f t="shared" si="2"/>
        <v>Q1</v>
      </c>
      <c r="O6" t="str">
        <f t="shared" si="3"/>
        <v>Low (&lt;2K)</v>
      </c>
      <c r="P6" t="str">
        <f t="shared" si="4"/>
        <v>Medium (3-4)</v>
      </c>
      <c r="Q6">
        <f t="shared" si="5"/>
        <v>0</v>
      </c>
      <c r="R6">
        <f t="shared" si="6"/>
        <v>0</v>
      </c>
      <c r="S6">
        <f t="shared" si="7"/>
        <v>0</v>
      </c>
    </row>
    <row r="7" spans="1:19" x14ac:dyDescent="0.3">
      <c r="A7" t="s">
        <v>34</v>
      </c>
      <c r="B7" s="1">
        <v>45730</v>
      </c>
      <c r="C7" t="s">
        <v>35</v>
      </c>
      <c r="D7" t="s">
        <v>36</v>
      </c>
      <c r="E7">
        <v>20</v>
      </c>
      <c r="F7">
        <v>1</v>
      </c>
      <c r="G7">
        <v>20</v>
      </c>
      <c r="H7" t="s">
        <v>25</v>
      </c>
      <c r="I7" t="s">
        <v>30</v>
      </c>
      <c r="J7" t="s">
        <v>31</v>
      </c>
      <c r="K7" t="s">
        <v>23</v>
      </c>
      <c r="L7" s="1" t="str">
        <f t="shared" si="0"/>
        <v>March</v>
      </c>
      <c r="M7" s="3">
        <f t="shared" si="1"/>
        <v>3</v>
      </c>
      <c r="N7" t="str">
        <f t="shared" si="2"/>
        <v>Q1</v>
      </c>
      <c r="O7" t="str">
        <f t="shared" si="3"/>
        <v>Low (&lt;2K)</v>
      </c>
      <c r="P7" t="str">
        <f t="shared" si="4"/>
        <v>Small (1-2)</v>
      </c>
      <c r="Q7">
        <f t="shared" si="5"/>
        <v>0</v>
      </c>
      <c r="R7">
        <f t="shared" si="6"/>
        <v>0</v>
      </c>
      <c r="S7">
        <f t="shared" si="7"/>
        <v>0</v>
      </c>
    </row>
    <row r="8" spans="1:19" x14ac:dyDescent="0.3">
      <c r="A8" t="s">
        <v>37</v>
      </c>
      <c r="B8" s="1">
        <v>45734</v>
      </c>
      <c r="C8" t="s">
        <v>33</v>
      </c>
      <c r="D8" t="s">
        <v>20</v>
      </c>
      <c r="E8">
        <v>150</v>
      </c>
      <c r="F8">
        <v>4</v>
      </c>
      <c r="G8">
        <v>600</v>
      </c>
      <c r="H8" t="s">
        <v>14</v>
      </c>
      <c r="I8" t="s">
        <v>38</v>
      </c>
      <c r="J8" t="s">
        <v>39</v>
      </c>
      <c r="K8" t="s">
        <v>40</v>
      </c>
      <c r="L8" s="1" t="str">
        <f t="shared" si="0"/>
        <v>March</v>
      </c>
      <c r="M8" s="3">
        <f t="shared" si="1"/>
        <v>3</v>
      </c>
      <c r="N8" t="str">
        <f t="shared" si="2"/>
        <v>Q1</v>
      </c>
      <c r="O8" t="str">
        <f t="shared" si="3"/>
        <v>Low (&lt;2K)</v>
      </c>
      <c r="P8" t="str">
        <f t="shared" si="4"/>
        <v>Medium (3-4)</v>
      </c>
      <c r="Q8">
        <f t="shared" si="5"/>
        <v>1</v>
      </c>
      <c r="R8">
        <f t="shared" si="6"/>
        <v>0</v>
      </c>
      <c r="S8">
        <f t="shared" si="7"/>
        <v>0</v>
      </c>
    </row>
    <row r="9" spans="1:19" x14ac:dyDescent="0.3">
      <c r="A9" t="s">
        <v>41</v>
      </c>
      <c r="B9" s="1">
        <v>45718</v>
      </c>
      <c r="C9" t="s">
        <v>42</v>
      </c>
      <c r="D9" t="s">
        <v>20</v>
      </c>
      <c r="E9">
        <v>500</v>
      </c>
      <c r="F9">
        <v>1</v>
      </c>
      <c r="G9">
        <v>500</v>
      </c>
      <c r="H9" t="s">
        <v>43</v>
      </c>
      <c r="I9" t="s">
        <v>44</v>
      </c>
      <c r="J9" t="s">
        <v>39</v>
      </c>
      <c r="K9" t="s">
        <v>40</v>
      </c>
      <c r="L9" s="1" t="str">
        <f t="shared" si="0"/>
        <v>March</v>
      </c>
      <c r="M9" s="3">
        <f t="shared" si="1"/>
        <v>3</v>
      </c>
      <c r="N9" t="str">
        <f t="shared" si="2"/>
        <v>Q1</v>
      </c>
      <c r="O9" t="str">
        <f t="shared" si="3"/>
        <v>Low (&lt;2K)</v>
      </c>
      <c r="P9" t="str">
        <f t="shared" si="4"/>
        <v>Small (1-2)</v>
      </c>
      <c r="Q9">
        <f t="shared" si="5"/>
        <v>1</v>
      </c>
      <c r="R9">
        <f t="shared" si="6"/>
        <v>0</v>
      </c>
      <c r="S9">
        <f t="shared" si="7"/>
        <v>0</v>
      </c>
    </row>
    <row r="10" spans="1:19" x14ac:dyDescent="0.3">
      <c r="A10" t="s">
        <v>45</v>
      </c>
      <c r="B10" s="1">
        <v>45724</v>
      </c>
      <c r="C10" t="s">
        <v>35</v>
      </c>
      <c r="D10" t="s">
        <v>36</v>
      </c>
      <c r="E10">
        <v>20</v>
      </c>
      <c r="F10">
        <v>3</v>
      </c>
      <c r="G10">
        <v>60</v>
      </c>
      <c r="H10" t="s">
        <v>43</v>
      </c>
      <c r="I10" t="s">
        <v>46</v>
      </c>
      <c r="J10" t="s">
        <v>39</v>
      </c>
      <c r="K10" t="s">
        <v>40</v>
      </c>
      <c r="L10" s="1" t="str">
        <f t="shared" si="0"/>
        <v>March</v>
      </c>
      <c r="M10" s="3">
        <f t="shared" si="1"/>
        <v>3</v>
      </c>
      <c r="N10" t="str">
        <f t="shared" si="2"/>
        <v>Q1</v>
      </c>
      <c r="O10" t="str">
        <f t="shared" si="3"/>
        <v>Low (&lt;2K)</v>
      </c>
      <c r="P10" t="str">
        <f t="shared" si="4"/>
        <v>Medium (3-4)</v>
      </c>
      <c r="Q10">
        <f t="shared" si="5"/>
        <v>1</v>
      </c>
      <c r="R10">
        <f t="shared" si="6"/>
        <v>0</v>
      </c>
      <c r="S10">
        <f t="shared" si="7"/>
        <v>0</v>
      </c>
    </row>
    <row r="11" spans="1:19" x14ac:dyDescent="0.3">
      <c r="A11" t="s">
        <v>47</v>
      </c>
      <c r="B11" s="1">
        <v>45728</v>
      </c>
      <c r="C11" t="s">
        <v>42</v>
      </c>
      <c r="D11" t="s">
        <v>20</v>
      </c>
      <c r="E11">
        <v>500</v>
      </c>
      <c r="F11">
        <v>1</v>
      </c>
      <c r="G11">
        <v>500</v>
      </c>
      <c r="H11" t="s">
        <v>21</v>
      </c>
      <c r="I11" t="s">
        <v>22</v>
      </c>
      <c r="J11" t="s">
        <v>31</v>
      </c>
      <c r="K11" t="s">
        <v>17</v>
      </c>
      <c r="L11" s="1" t="str">
        <f t="shared" si="0"/>
        <v>March</v>
      </c>
      <c r="M11" s="3">
        <f t="shared" si="1"/>
        <v>3</v>
      </c>
      <c r="N11" t="str">
        <f t="shared" si="2"/>
        <v>Q1</v>
      </c>
      <c r="O11" t="str">
        <f t="shared" si="3"/>
        <v>Low (&lt;2K)</v>
      </c>
      <c r="P11" t="str">
        <f t="shared" si="4"/>
        <v>Small (1-2)</v>
      </c>
      <c r="Q11">
        <f t="shared" si="5"/>
        <v>0</v>
      </c>
      <c r="R11">
        <f t="shared" si="6"/>
        <v>1</v>
      </c>
      <c r="S11">
        <f t="shared" si="7"/>
        <v>500</v>
      </c>
    </row>
    <row r="12" spans="1:19" x14ac:dyDescent="0.3">
      <c r="A12" t="s">
        <v>48</v>
      </c>
      <c r="B12" s="1">
        <v>45705</v>
      </c>
      <c r="C12" t="s">
        <v>49</v>
      </c>
      <c r="D12" t="s">
        <v>50</v>
      </c>
      <c r="E12">
        <v>15</v>
      </c>
      <c r="F12">
        <v>2</v>
      </c>
      <c r="G12">
        <v>30</v>
      </c>
      <c r="H12" t="s">
        <v>51</v>
      </c>
      <c r="I12" t="s">
        <v>46</v>
      </c>
      <c r="J12" t="s">
        <v>27</v>
      </c>
      <c r="K12" t="s">
        <v>23</v>
      </c>
      <c r="L12" s="1" t="str">
        <f t="shared" si="0"/>
        <v>February</v>
      </c>
      <c r="M12" s="3">
        <f t="shared" si="1"/>
        <v>2</v>
      </c>
      <c r="N12" t="str">
        <f t="shared" si="2"/>
        <v>Q1</v>
      </c>
      <c r="O12" t="str">
        <f t="shared" si="3"/>
        <v>Low (&lt;2K)</v>
      </c>
      <c r="P12" t="str">
        <f t="shared" si="4"/>
        <v>Small (1-2)</v>
      </c>
      <c r="Q12">
        <f t="shared" si="5"/>
        <v>0</v>
      </c>
      <c r="R12">
        <f t="shared" si="6"/>
        <v>0</v>
      </c>
      <c r="S12">
        <f t="shared" si="7"/>
        <v>0</v>
      </c>
    </row>
    <row r="13" spans="1:19" x14ac:dyDescent="0.3">
      <c r="A13" t="s">
        <v>52</v>
      </c>
      <c r="B13" s="1">
        <v>45729</v>
      </c>
      <c r="C13" t="s">
        <v>53</v>
      </c>
      <c r="D13" t="s">
        <v>36</v>
      </c>
      <c r="E13">
        <v>40</v>
      </c>
      <c r="F13">
        <v>4</v>
      </c>
      <c r="G13">
        <v>160</v>
      </c>
      <c r="H13" t="s">
        <v>54</v>
      </c>
      <c r="I13" t="s">
        <v>30</v>
      </c>
      <c r="J13" t="s">
        <v>31</v>
      </c>
      <c r="K13" t="s">
        <v>40</v>
      </c>
      <c r="L13" s="1" t="str">
        <f t="shared" si="0"/>
        <v>March</v>
      </c>
      <c r="M13" s="3">
        <f t="shared" si="1"/>
        <v>3</v>
      </c>
      <c r="N13" t="str">
        <f t="shared" si="2"/>
        <v>Q1</v>
      </c>
      <c r="O13" t="str">
        <f t="shared" si="3"/>
        <v>Low (&lt;2K)</v>
      </c>
      <c r="P13" t="str">
        <f t="shared" si="4"/>
        <v>Medium (3-4)</v>
      </c>
      <c r="Q13">
        <f t="shared" si="5"/>
        <v>1</v>
      </c>
      <c r="R13">
        <f t="shared" si="6"/>
        <v>0</v>
      </c>
      <c r="S13">
        <f t="shared" si="7"/>
        <v>0</v>
      </c>
    </row>
    <row r="14" spans="1:19" x14ac:dyDescent="0.3">
      <c r="A14" t="s">
        <v>55</v>
      </c>
      <c r="B14" s="1">
        <v>45717</v>
      </c>
      <c r="C14" t="s">
        <v>56</v>
      </c>
      <c r="D14" t="s">
        <v>20</v>
      </c>
      <c r="E14">
        <v>800</v>
      </c>
      <c r="F14">
        <v>2</v>
      </c>
      <c r="G14">
        <v>1600</v>
      </c>
      <c r="H14" t="s">
        <v>57</v>
      </c>
      <c r="I14" t="s">
        <v>22</v>
      </c>
      <c r="J14" t="s">
        <v>58</v>
      </c>
      <c r="K14" t="s">
        <v>23</v>
      </c>
      <c r="L14" s="1" t="str">
        <f t="shared" si="0"/>
        <v>March</v>
      </c>
      <c r="M14" s="3">
        <f t="shared" si="1"/>
        <v>3</v>
      </c>
      <c r="N14" t="str">
        <f t="shared" si="2"/>
        <v>Q1</v>
      </c>
      <c r="O14" t="str">
        <f t="shared" si="3"/>
        <v>Low (&lt;2K)</v>
      </c>
      <c r="P14" t="str">
        <f t="shared" si="4"/>
        <v>Small (1-2)</v>
      </c>
      <c r="Q14">
        <f t="shared" si="5"/>
        <v>0</v>
      </c>
      <c r="R14">
        <f t="shared" si="6"/>
        <v>0</v>
      </c>
      <c r="S14">
        <f t="shared" si="7"/>
        <v>0</v>
      </c>
    </row>
    <row r="15" spans="1:19" x14ac:dyDescent="0.3">
      <c r="A15" t="s">
        <v>59</v>
      </c>
      <c r="B15" s="1">
        <v>45720</v>
      </c>
      <c r="C15" t="s">
        <v>60</v>
      </c>
      <c r="D15" t="s">
        <v>61</v>
      </c>
      <c r="E15">
        <v>600</v>
      </c>
      <c r="F15">
        <v>3</v>
      </c>
      <c r="G15">
        <v>1800</v>
      </c>
      <c r="H15" t="s">
        <v>54</v>
      </c>
      <c r="I15" t="s">
        <v>44</v>
      </c>
      <c r="J15" t="s">
        <v>31</v>
      </c>
      <c r="K15" t="s">
        <v>17</v>
      </c>
      <c r="L15" s="1" t="str">
        <f t="shared" si="0"/>
        <v>March</v>
      </c>
      <c r="M15" s="3">
        <f t="shared" si="1"/>
        <v>3</v>
      </c>
      <c r="N15" t="str">
        <f t="shared" si="2"/>
        <v>Q1</v>
      </c>
      <c r="O15" t="str">
        <f t="shared" si="3"/>
        <v>Low (&lt;2K)</v>
      </c>
      <c r="P15" t="str">
        <f t="shared" si="4"/>
        <v>Medium (3-4)</v>
      </c>
      <c r="Q15">
        <f t="shared" si="5"/>
        <v>0</v>
      </c>
      <c r="R15">
        <f t="shared" si="6"/>
        <v>1</v>
      </c>
      <c r="S15">
        <f t="shared" si="7"/>
        <v>1800</v>
      </c>
    </row>
    <row r="16" spans="1:19" x14ac:dyDescent="0.3">
      <c r="A16" t="s">
        <v>62</v>
      </c>
      <c r="B16" s="1">
        <v>45708</v>
      </c>
      <c r="C16" t="s">
        <v>33</v>
      </c>
      <c r="D16" t="s">
        <v>20</v>
      </c>
      <c r="E16">
        <v>150</v>
      </c>
      <c r="F16">
        <v>4</v>
      </c>
      <c r="G16">
        <v>600</v>
      </c>
      <c r="H16" t="s">
        <v>25</v>
      </c>
      <c r="I16" t="s">
        <v>63</v>
      </c>
      <c r="J16" t="s">
        <v>31</v>
      </c>
      <c r="K16" t="s">
        <v>40</v>
      </c>
      <c r="L16" s="1" t="str">
        <f t="shared" si="0"/>
        <v>February</v>
      </c>
      <c r="M16" s="3">
        <f t="shared" si="1"/>
        <v>2</v>
      </c>
      <c r="N16" t="str">
        <f t="shared" si="2"/>
        <v>Q1</v>
      </c>
      <c r="O16" t="str">
        <f t="shared" si="3"/>
        <v>Low (&lt;2K)</v>
      </c>
      <c r="P16" t="str">
        <f t="shared" si="4"/>
        <v>Medium (3-4)</v>
      </c>
      <c r="Q16">
        <f t="shared" si="5"/>
        <v>1</v>
      </c>
      <c r="R16">
        <f t="shared" si="6"/>
        <v>0</v>
      </c>
      <c r="S16">
        <f t="shared" si="7"/>
        <v>0</v>
      </c>
    </row>
    <row r="17" spans="1:19" x14ac:dyDescent="0.3">
      <c r="A17" t="s">
        <v>64</v>
      </c>
      <c r="B17" s="1">
        <v>45714</v>
      </c>
      <c r="C17" t="s">
        <v>65</v>
      </c>
      <c r="D17" t="s">
        <v>61</v>
      </c>
      <c r="E17">
        <v>1200</v>
      </c>
      <c r="F17">
        <v>1</v>
      </c>
      <c r="G17">
        <v>1200</v>
      </c>
      <c r="H17" t="s">
        <v>25</v>
      </c>
      <c r="I17" t="s">
        <v>46</v>
      </c>
      <c r="J17" t="s">
        <v>31</v>
      </c>
      <c r="K17" t="s">
        <v>17</v>
      </c>
      <c r="L17" s="1" t="str">
        <f t="shared" si="0"/>
        <v>February</v>
      </c>
      <c r="M17" s="3">
        <f t="shared" si="1"/>
        <v>2</v>
      </c>
      <c r="N17" t="str">
        <f t="shared" si="2"/>
        <v>Q1</v>
      </c>
      <c r="O17" t="str">
        <f t="shared" si="3"/>
        <v>Low (&lt;2K)</v>
      </c>
      <c r="P17" t="str">
        <f t="shared" si="4"/>
        <v>Small (1-2)</v>
      </c>
      <c r="Q17">
        <f t="shared" si="5"/>
        <v>0</v>
      </c>
      <c r="R17">
        <f t="shared" si="6"/>
        <v>1</v>
      </c>
      <c r="S17">
        <f t="shared" si="7"/>
        <v>1200</v>
      </c>
    </row>
    <row r="18" spans="1:19" x14ac:dyDescent="0.3">
      <c r="A18" t="s">
        <v>66</v>
      </c>
      <c r="B18" s="1">
        <v>45748</v>
      </c>
      <c r="C18" t="s">
        <v>35</v>
      </c>
      <c r="D18" t="s">
        <v>36</v>
      </c>
      <c r="E18">
        <v>20</v>
      </c>
      <c r="F18">
        <v>1</v>
      </c>
      <c r="G18">
        <v>20</v>
      </c>
      <c r="H18" t="s">
        <v>14</v>
      </c>
      <c r="I18" t="s">
        <v>15</v>
      </c>
      <c r="J18" t="s">
        <v>27</v>
      </c>
      <c r="K18" t="s">
        <v>40</v>
      </c>
      <c r="L18" s="1" t="str">
        <f t="shared" si="0"/>
        <v>April</v>
      </c>
      <c r="M18" s="3">
        <f t="shared" si="1"/>
        <v>4</v>
      </c>
      <c r="N18" t="str">
        <f t="shared" si="2"/>
        <v>Q2</v>
      </c>
      <c r="O18" t="str">
        <f t="shared" si="3"/>
        <v>Low (&lt;2K)</v>
      </c>
      <c r="P18" t="str">
        <f t="shared" si="4"/>
        <v>Small (1-2)</v>
      </c>
      <c r="Q18">
        <f t="shared" si="5"/>
        <v>1</v>
      </c>
      <c r="R18">
        <f t="shared" si="6"/>
        <v>0</v>
      </c>
      <c r="S18">
        <f t="shared" si="7"/>
        <v>0</v>
      </c>
    </row>
    <row r="19" spans="1:19" x14ac:dyDescent="0.3">
      <c r="A19" t="s">
        <v>67</v>
      </c>
      <c r="B19" s="1">
        <v>45698</v>
      </c>
      <c r="C19" t="s">
        <v>42</v>
      </c>
      <c r="D19" t="s">
        <v>20</v>
      </c>
      <c r="E19">
        <v>500</v>
      </c>
      <c r="F19">
        <v>2</v>
      </c>
      <c r="G19">
        <v>1000</v>
      </c>
      <c r="H19" t="s">
        <v>54</v>
      </c>
      <c r="I19" t="s">
        <v>68</v>
      </c>
      <c r="J19" t="s">
        <v>27</v>
      </c>
      <c r="K19" t="s">
        <v>40</v>
      </c>
      <c r="L19" s="1" t="str">
        <f t="shared" si="0"/>
        <v>February</v>
      </c>
      <c r="M19" s="3">
        <f t="shared" si="1"/>
        <v>2</v>
      </c>
      <c r="N19" t="str">
        <f t="shared" si="2"/>
        <v>Q1</v>
      </c>
      <c r="O19" t="str">
        <f t="shared" si="3"/>
        <v>Low (&lt;2K)</v>
      </c>
      <c r="P19" t="str">
        <f t="shared" si="4"/>
        <v>Small (1-2)</v>
      </c>
      <c r="Q19">
        <f t="shared" si="5"/>
        <v>1</v>
      </c>
      <c r="R19">
        <f t="shared" si="6"/>
        <v>0</v>
      </c>
      <c r="S19">
        <f t="shared" si="7"/>
        <v>0</v>
      </c>
    </row>
    <row r="20" spans="1:19" x14ac:dyDescent="0.3">
      <c r="A20" t="s">
        <v>69</v>
      </c>
      <c r="B20" s="1">
        <v>45738</v>
      </c>
      <c r="C20" t="s">
        <v>12</v>
      </c>
      <c r="D20" t="s">
        <v>13</v>
      </c>
      <c r="E20">
        <v>60</v>
      </c>
      <c r="F20">
        <v>3</v>
      </c>
      <c r="G20">
        <v>180</v>
      </c>
      <c r="H20" t="s">
        <v>29</v>
      </c>
      <c r="I20" t="s">
        <v>38</v>
      </c>
      <c r="J20" t="s">
        <v>31</v>
      </c>
      <c r="K20" t="s">
        <v>40</v>
      </c>
      <c r="L20" s="1" t="str">
        <f t="shared" si="0"/>
        <v>March</v>
      </c>
      <c r="M20" s="3">
        <f t="shared" si="1"/>
        <v>3</v>
      </c>
      <c r="N20" t="str">
        <f t="shared" si="2"/>
        <v>Q1</v>
      </c>
      <c r="O20" t="str">
        <f t="shared" si="3"/>
        <v>Low (&lt;2K)</v>
      </c>
      <c r="P20" t="str">
        <f t="shared" si="4"/>
        <v>Medium (3-4)</v>
      </c>
      <c r="Q20">
        <f t="shared" si="5"/>
        <v>1</v>
      </c>
      <c r="R20">
        <f t="shared" si="6"/>
        <v>0</v>
      </c>
      <c r="S20">
        <f t="shared" si="7"/>
        <v>0</v>
      </c>
    </row>
    <row r="21" spans="1:19" x14ac:dyDescent="0.3">
      <c r="A21" t="s">
        <v>70</v>
      </c>
      <c r="B21" s="1">
        <v>45723</v>
      </c>
      <c r="C21" t="s">
        <v>19</v>
      </c>
      <c r="D21" t="s">
        <v>20</v>
      </c>
      <c r="E21">
        <v>100</v>
      </c>
      <c r="F21">
        <v>4</v>
      </c>
      <c r="G21">
        <v>400</v>
      </c>
      <c r="H21" t="s">
        <v>29</v>
      </c>
      <c r="I21" t="s">
        <v>63</v>
      </c>
      <c r="J21" t="s">
        <v>16</v>
      </c>
      <c r="K21" t="s">
        <v>23</v>
      </c>
      <c r="L21" s="1" t="str">
        <f t="shared" si="0"/>
        <v>March</v>
      </c>
      <c r="M21" s="3">
        <f t="shared" si="1"/>
        <v>3</v>
      </c>
      <c r="N21" t="str">
        <f t="shared" si="2"/>
        <v>Q1</v>
      </c>
      <c r="O21" t="str">
        <f t="shared" si="3"/>
        <v>Low (&lt;2K)</v>
      </c>
      <c r="P21" t="str">
        <f t="shared" si="4"/>
        <v>Medium (3-4)</v>
      </c>
      <c r="Q21">
        <f t="shared" si="5"/>
        <v>0</v>
      </c>
      <c r="R21">
        <f t="shared" si="6"/>
        <v>0</v>
      </c>
      <c r="S21">
        <f t="shared" si="7"/>
        <v>0</v>
      </c>
    </row>
    <row r="22" spans="1:19" x14ac:dyDescent="0.3">
      <c r="A22" t="s">
        <v>71</v>
      </c>
      <c r="B22" s="1">
        <v>45693</v>
      </c>
      <c r="C22" t="s">
        <v>19</v>
      </c>
      <c r="D22" t="s">
        <v>20</v>
      </c>
      <c r="E22">
        <v>100</v>
      </c>
      <c r="F22">
        <v>3</v>
      </c>
      <c r="G22">
        <v>300</v>
      </c>
      <c r="H22" t="s">
        <v>72</v>
      </c>
      <c r="I22" t="s">
        <v>44</v>
      </c>
      <c r="J22" t="s">
        <v>16</v>
      </c>
      <c r="K22" t="s">
        <v>17</v>
      </c>
      <c r="L22" s="1" t="str">
        <f t="shared" si="0"/>
        <v>February</v>
      </c>
      <c r="M22" s="3">
        <f t="shared" si="1"/>
        <v>2</v>
      </c>
      <c r="N22" t="str">
        <f t="shared" si="2"/>
        <v>Q1</v>
      </c>
      <c r="O22" t="str">
        <f t="shared" si="3"/>
        <v>Low (&lt;2K)</v>
      </c>
      <c r="P22" t="str">
        <f t="shared" si="4"/>
        <v>Medium (3-4)</v>
      </c>
      <c r="Q22">
        <f t="shared" si="5"/>
        <v>0</v>
      </c>
      <c r="R22">
        <f t="shared" si="6"/>
        <v>1</v>
      </c>
      <c r="S22">
        <f t="shared" si="7"/>
        <v>300</v>
      </c>
    </row>
    <row r="23" spans="1:19" x14ac:dyDescent="0.3">
      <c r="A23" t="s">
        <v>73</v>
      </c>
      <c r="B23" s="1">
        <v>45723</v>
      </c>
      <c r="C23" t="s">
        <v>65</v>
      </c>
      <c r="D23" t="s">
        <v>61</v>
      </c>
      <c r="E23">
        <v>1200</v>
      </c>
      <c r="F23">
        <v>4</v>
      </c>
      <c r="G23">
        <v>4800</v>
      </c>
      <c r="H23" t="s">
        <v>29</v>
      </c>
      <c r="I23" t="s">
        <v>38</v>
      </c>
      <c r="J23" t="s">
        <v>31</v>
      </c>
      <c r="K23" t="s">
        <v>23</v>
      </c>
      <c r="L23" s="1" t="str">
        <f t="shared" si="0"/>
        <v>March</v>
      </c>
      <c r="M23" s="3">
        <f t="shared" si="1"/>
        <v>3</v>
      </c>
      <c r="N23" t="str">
        <f t="shared" si="2"/>
        <v>Q1</v>
      </c>
      <c r="O23" t="str">
        <f t="shared" si="3"/>
        <v>Mid (2K-5K)</v>
      </c>
      <c r="P23" t="str">
        <f t="shared" si="4"/>
        <v>Medium (3-4)</v>
      </c>
      <c r="Q23">
        <f t="shared" si="5"/>
        <v>0</v>
      </c>
      <c r="R23">
        <f t="shared" si="6"/>
        <v>0</v>
      </c>
      <c r="S23">
        <f t="shared" si="7"/>
        <v>0</v>
      </c>
    </row>
    <row r="24" spans="1:19" x14ac:dyDescent="0.3">
      <c r="A24" t="s">
        <v>74</v>
      </c>
      <c r="B24" s="1">
        <v>45711</v>
      </c>
      <c r="C24" t="s">
        <v>49</v>
      </c>
      <c r="D24" t="s">
        <v>50</v>
      </c>
      <c r="E24">
        <v>15</v>
      </c>
      <c r="F24">
        <v>1</v>
      </c>
      <c r="G24">
        <v>15</v>
      </c>
      <c r="H24" t="s">
        <v>14</v>
      </c>
      <c r="I24" t="s">
        <v>38</v>
      </c>
      <c r="J24" t="s">
        <v>31</v>
      </c>
      <c r="K24" t="s">
        <v>23</v>
      </c>
      <c r="L24" s="1" t="str">
        <f t="shared" si="0"/>
        <v>February</v>
      </c>
      <c r="M24" s="3">
        <f t="shared" si="1"/>
        <v>2</v>
      </c>
      <c r="N24" t="str">
        <f t="shared" si="2"/>
        <v>Q1</v>
      </c>
      <c r="O24" t="str">
        <f t="shared" si="3"/>
        <v>Low (&lt;2K)</v>
      </c>
      <c r="P24" t="str">
        <f t="shared" si="4"/>
        <v>Small (1-2)</v>
      </c>
      <c r="Q24">
        <f t="shared" si="5"/>
        <v>0</v>
      </c>
      <c r="R24">
        <f t="shared" si="6"/>
        <v>0</v>
      </c>
      <c r="S24">
        <f t="shared" si="7"/>
        <v>0</v>
      </c>
    </row>
    <row r="25" spans="1:19" x14ac:dyDescent="0.3">
      <c r="A25" t="s">
        <v>75</v>
      </c>
      <c r="B25" s="1">
        <v>45740</v>
      </c>
      <c r="C25" t="s">
        <v>65</v>
      </c>
      <c r="D25" t="s">
        <v>61</v>
      </c>
      <c r="E25">
        <v>1200</v>
      </c>
      <c r="F25">
        <v>3</v>
      </c>
      <c r="G25">
        <v>3600</v>
      </c>
      <c r="H25" t="s">
        <v>72</v>
      </c>
      <c r="I25" t="s">
        <v>30</v>
      </c>
      <c r="J25" t="s">
        <v>31</v>
      </c>
      <c r="K25" t="s">
        <v>17</v>
      </c>
      <c r="L25" s="1" t="str">
        <f t="shared" si="0"/>
        <v>March</v>
      </c>
      <c r="M25" s="3">
        <f t="shared" si="1"/>
        <v>3</v>
      </c>
      <c r="N25" t="str">
        <f t="shared" si="2"/>
        <v>Q1</v>
      </c>
      <c r="O25" t="str">
        <f t="shared" si="3"/>
        <v>Mid (2K-5K)</v>
      </c>
      <c r="P25" t="str">
        <f t="shared" si="4"/>
        <v>Medium (3-4)</v>
      </c>
      <c r="Q25">
        <f t="shared" si="5"/>
        <v>0</v>
      </c>
      <c r="R25">
        <f t="shared" si="6"/>
        <v>1</v>
      </c>
      <c r="S25">
        <f t="shared" si="7"/>
        <v>3600</v>
      </c>
    </row>
    <row r="26" spans="1:19" x14ac:dyDescent="0.3">
      <c r="A26" t="s">
        <v>76</v>
      </c>
      <c r="B26" s="1">
        <v>45718</v>
      </c>
      <c r="C26" t="s">
        <v>49</v>
      </c>
      <c r="D26" t="s">
        <v>50</v>
      </c>
      <c r="E26">
        <v>15</v>
      </c>
      <c r="F26">
        <v>5</v>
      </c>
      <c r="G26">
        <v>75</v>
      </c>
      <c r="H26" t="s">
        <v>43</v>
      </c>
      <c r="I26" t="s">
        <v>63</v>
      </c>
      <c r="J26" t="s">
        <v>27</v>
      </c>
      <c r="K26" t="s">
        <v>40</v>
      </c>
      <c r="L26" s="1" t="str">
        <f t="shared" si="0"/>
        <v>March</v>
      </c>
      <c r="M26" s="3">
        <f t="shared" si="1"/>
        <v>3</v>
      </c>
      <c r="N26" t="str">
        <f t="shared" si="2"/>
        <v>Q1</v>
      </c>
      <c r="O26" t="str">
        <f t="shared" si="3"/>
        <v>Low (&lt;2K)</v>
      </c>
      <c r="P26" t="str">
        <f t="shared" si="4"/>
        <v>Bulk (5+)</v>
      </c>
      <c r="Q26">
        <f t="shared" si="5"/>
        <v>1</v>
      </c>
      <c r="R26">
        <f t="shared" si="6"/>
        <v>0</v>
      </c>
      <c r="S26">
        <f t="shared" si="7"/>
        <v>0</v>
      </c>
    </row>
    <row r="27" spans="1:19" x14ac:dyDescent="0.3">
      <c r="A27" t="s">
        <v>77</v>
      </c>
      <c r="B27" s="1">
        <v>45702</v>
      </c>
      <c r="C27" t="s">
        <v>60</v>
      </c>
      <c r="D27" t="s">
        <v>61</v>
      </c>
      <c r="E27">
        <v>600</v>
      </c>
      <c r="F27">
        <v>1</v>
      </c>
      <c r="G27">
        <v>600</v>
      </c>
      <c r="H27" t="s">
        <v>29</v>
      </c>
      <c r="I27" t="s">
        <v>46</v>
      </c>
      <c r="J27" t="s">
        <v>16</v>
      </c>
      <c r="K27" t="s">
        <v>17</v>
      </c>
      <c r="L27" s="1" t="str">
        <f t="shared" si="0"/>
        <v>February</v>
      </c>
      <c r="M27" s="3">
        <f t="shared" si="1"/>
        <v>2</v>
      </c>
      <c r="N27" t="str">
        <f t="shared" si="2"/>
        <v>Q1</v>
      </c>
      <c r="O27" t="str">
        <f t="shared" si="3"/>
        <v>Low (&lt;2K)</v>
      </c>
      <c r="P27" t="str">
        <f t="shared" si="4"/>
        <v>Small (1-2)</v>
      </c>
      <c r="Q27">
        <f t="shared" si="5"/>
        <v>0</v>
      </c>
      <c r="R27">
        <f t="shared" si="6"/>
        <v>1</v>
      </c>
      <c r="S27">
        <f t="shared" si="7"/>
        <v>600</v>
      </c>
    </row>
    <row r="28" spans="1:19" x14ac:dyDescent="0.3">
      <c r="A28" t="s">
        <v>78</v>
      </c>
      <c r="B28" s="1">
        <v>45695</v>
      </c>
      <c r="C28" t="s">
        <v>35</v>
      </c>
      <c r="D28" t="s">
        <v>36</v>
      </c>
      <c r="E28">
        <v>20</v>
      </c>
      <c r="F28">
        <v>1</v>
      </c>
      <c r="G28">
        <v>20</v>
      </c>
      <c r="H28" t="s">
        <v>57</v>
      </c>
      <c r="I28" t="s">
        <v>15</v>
      </c>
      <c r="J28" t="s">
        <v>27</v>
      </c>
      <c r="K28" t="s">
        <v>23</v>
      </c>
      <c r="L28" s="1" t="str">
        <f t="shared" si="0"/>
        <v>February</v>
      </c>
      <c r="M28" s="3">
        <f t="shared" si="1"/>
        <v>2</v>
      </c>
      <c r="N28" t="str">
        <f t="shared" si="2"/>
        <v>Q1</v>
      </c>
      <c r="O28" t="str">
        <f t="shared" si="3"/>
        <v>Low (&lt;2K)</v>
      </c>
      <c r="P28" t="str">
        <f t="shared" si="4"/>
        <v>Small (1-2)</v>
      </c>
      <c r="Q28">
        <f t="shared" si="5"/>
        <v>0</v>
      </c>
      <c r="R28">
        <f t="shared" si="6"/>
        <v>0</v>
      </c>
      <c r="S28">
        <f t="shared" si="7"/>
        <v>0</v>
      </c>
    </row>
    <row r="29" spans="1:19" x14ac:dyDescent="0.3">
      <c r="A29" t="s">
        <v>79</v>
      </c>
      <c r="B29" s="1">
        <v>45691</v>
      </c>
      <c r="C29" t="s">
        <v>19</v>
      </c>
      <c r="D29" t="s">
        <v>20</v>
      </c>
      <c r="E29">
        <v>100</v>
      </c>
      <c r="F29">
        <v>1</v>
      </c>
      <c r="G29">
        <v>100</v>
      </c>
      <c r="H29" t="s">
        <v>80</v>
      </c>
      <c r="I29" t="s">
        <v>81</v>
      </c>
      <c r="J29" t="s">
        <v>27</v>
      </c>
      <c r="K29" t="s">
        <v>40</v>
      </c>
      <c r="L29" s="1" t="str">
        <f t="shared" si="0"/>
        <v>February</v>
      </c>
      <c r="M29" s="3">
        <f t="shared" si="1"/>
        <v>2</v>
      </c>
      <c r="N29" t="str">
        <f t="shared" si="2"/>
        <v>Q1</v>
      </c>
      <c r="O29" t="str">
        <f t="shared" si="3"/>
        <v>Low (&lt;2K)</v>
      </c>
      <c r="P29" t="str">
        <f t="shared" si="4"/>
        <v>Small (1-2)</v>
      </c>
      <c r="Q29">
        <f t="shared" si="5"/>
        <v>1</v>
      </c>
      <c r="R29">
        <f t="shared" si="6"/>
        <v>0</v>
      </c>
      <c r="S29">
        <f t="shared" si="7"/>
        <v>0</v>
      </c>
    </row>
    <row r="30" spans="1:19" x14ac:dyDescent="0.3">
      <c r="A30" t="s">
        <v>82</v>
      </c>
      <c r="B30" s="1">
        <v>45700</v>
      </c>
      <c r="C30" t="s">
        <v>42</v>
      </c>
      <c r="D30" t="s">
        <v>20</v>
      </c>
      <c r="E30">
        <v>500</v>
      </c>
      <c r="F30">
        <v>1</v>
      </c>
      <c r="G30">
        <v>500</v>
      </c>
      <c r="H30" t="s">
        <v>43</v>
      </c>
      <c r="I30" t="s">
        <v>26</v>
      </c>
      <c r="J30" t="s">
        <v>31</v>
      </c>
      <c r="K30" t="s">
        <v>17</v>
      </c>
      <c r="L30" s="1" t="str">
        <f t="shared" si="0"/>
        <v>February</v>
      </c>
      <c r="M30" s="3">
        <f t="shared" si="1"/>
        <v>2</v>
      </c>
      <c r="N30" t="str">
        <f t="shared" si="2"/>
        <v>Q1</v>
      </c>
      <c r="O30" t="str">
        <f t="shared" si="3"/>
        <v>Low (&lt;2K)</v>
      </c>
      <c r="P30" t="str">
        <f t="shared" si="4"/>
        <v>Small (1-2)</v>
      </c>
      <c r="Q30">
        <f t="shared" si="5"/>
        <v>0</v>
      </c>
      <c r="R30">
        <f t="shared" si="6"/>
        <v>1</v>
      </c>
      <c r="S30">
        <f t="shared" si="7"/>
        <v>500</v>
      </c>
    </row>
    <row r="31" spans="1:19" x14ac:dyDescent="0.3">
      <c r="A31" t="s">
        <v>83</v>
      </c>
      <c r="B31" s="1">
        <v>45698</v>
      </c>
      <c r="C31" t="s">
        <v>60</v>
      </c>
      <c r="D31" t="s">
        <v>61</v>
      </c>
      <c r="E31">
        <v>600</v>
      </c>
      <c r="F31">
        <v>3</v>
      </c>
      <c r="G31">
        <v>1800</v>
      </c>
      <c r="H31" t="s">
        <v>21</v>
      </c>
      <c r="I31" t="s">
        <v>30</v>
      </c>
      <c r="J31" t="s">
        <v>58</v>
      </c>
      <c r="K31" t="s">
        <v>17</v>
      </c>
      <c r="L31" s="1" t="str">
        <f t="shared" si="0"/>
        <v>February</v>
      </c>
      <c r="M31" s="3">
        <f t="shared" si="1"/>
        <v>2</v>
      </c>
      <c r="N31" t="str">
        <f t="shared" si="2"/>
        <v>Q1</v>
      </c>
      <c r="O31" t="str">
        <f t="shared" si="3"/>
        <v>Low (&lt;2K)</v>
      </c>
      <c r="P31" t="str">
        <f t="shared" si="4"/>
        <v>Medium (3-4)</v>
      </c>
      <c r="Q31">
        <f t="shared" si="5"/>
        <v>0</v>
      </c>
      <c r="R31">
        <f t="shared" si="6"/>
        <v>1</v>
      </c>
      <c r="S31">
        <f t="shared" si="7"/>
        <v>1800</v>
      </c>
    </row>
    <row r="32" spans="1:19" x14ac:dyDescent="0.3">
      <c r="A32" t="s">
        <v>84</v>
      </c>
      <c r="B32" s="1">
        <v>45740</v>
      </c>
      <c r="C32" t="s">
        <v>42</v>
      </c>
      <c r="D32" t="s">
        <v>20</v>
      </c>
      <c r="E32">
        <v>500</v>
      </c>
      <c r="F32">
        <v>1</v>
      </c>
      <c r="G32">
        <v>500</v>
      </c>
      <c r="H32" t="s">
        <v>25</v>
      </c>
      <c r="I32" t="s">
        <v>38</v>
      </c>
      <c r="J32" t="s">
        <v>58</v>
      </c>
      <c r="K32" t="s">
        <v>23</v>
      </c>
      <c r="L32" s="1" t="str">
        <f t="shared" si="0"/>
        <v>March</v>
      </c>
      <c r="M32" s="3">
        <f t="shared" si="1"/>
        <v>3</v>
      </c>
      <c r="N32" t="str">
        <f t="shared" si="2"/>
        <v>Q1</v>
      </c>
      <c r="O32" t="str">
        <f t="shared" si="3"/>
        <v>Low (&lt;2K)</v>
      </c>
      <c r="P32" t="str">
        <f t="shared" si="4"/>
        <v>Small (1-2)</v>
      </c>
      <c r="Q32">
        <f t="shared" si="5"/>
        <v>0</v>
      </c>
      <c r="R32">
        <f t="shared" si="6"/>
        <v>0</v>
      </c>
      <c r="S32">
        <f t="shared" si="7"/>
        <v>0</v>
      </c>
    </row>
    <row r="33" spans="1:19" x14ac:dyDescent="0.3">
      <c r="A33" t="s">
        <v>85</v>
      </c>
      <c r="B33" s="1">
        <v>45726</v>
      </c>
      <c r="C33" t="s">
        <v>42</v>
      </c>
      <c r="D33" t="s">
        <v>20</v>
      </c>
      <c r="E33">
        <v>500</v>
      </c>
      <c r="F33">
        <v>4</v>
      </c>
      <c r="G33">
        <v>2000</v>
      </c>
      <c r="H33" t="s">
        <v>54</v>
      </c>
      <c r="I33" t="s">
        <v>63</v>
      </c>
      <c r="J33" t="s">
        <v>39</v>
      </c>
      <c r="K33" t="s">
        <v>23</v>
      </c>
      <c r="L33" s="1" t="str">
        <f t="shared" si="0"/>
        <v>March</v>
      </c>
      <c r="M33" s="3">
        <f t="shared" si="1"/>
        <v>3</v>
      </c>
      <c r="N33" t="str">
        <f t="shared" si="2"/>
        <v>Q1</v>
      </c>
      <c r="O33" t="str">
        <f t="shared" si="3"/>
        <v>Mid (2K-5K)</v>
      </c>
      <c r="P33" t="str">
        <f t="shared" si="4"/>
        <v>Medium (3-4)</v>
      </c>
      <c r="Q33">
        <f t="shared" si="5"/>
        <v>0</v>
      </c>
      <c r="R33">
        <f t="shared" si="6"/>
        <v>0</v>
      </c>
      <c r="S33">
        <f t="shared" si="7"/>
        <v>0</v>
      </c>
    </row>
    <row r="34" spans="1:19" x14ac:dyDescent="0.3">
      <c r="A34" t="s">
        <v>86</v>
      </c>
      <c r="B34" s="1">
        <v>45692</v>
      </c>
      <c r="C34" t="s">
        <v>49</v>
      </c>
      <c r="D34" t="s">
        <v>50</v>
      </c>
      <c r="E34">
        <v>15</v>
      </c>
      <c r="F34">
        <v>1</v>
      </c>
      <c r="G34">
        <v>15</v>
      </c>
      <c r="H34" t="s">
        <v>29</v>
      </c>
      <c r="I34" t="s">
        <v>15</v>
      </c>
      <c r="J34" t="s">
        <v>16</v>
      </c>
      <c r="K34" t="s">
        <v>17</v>
      </c>
      <c r="L34" s="1" t="str">
        <f t="shared" si="0"/>
        <v>February</v>
      </c>
      <c r="M34" s="3">
        <f t="shared" si="1"/>
        <v>2</v>
      </c>
      <c r="N34" t="str">
        <f t="shared" si="2"/>
        <v>Q1</v>
      </c>
      <c r="O34" t="str">
        <f t="shared" si="3"/>
        <v>Low (&lt;2K)</v>
      </c>
      <c r="P34" t="str">
        <f t="shared" si="4"/>
        <v>Small (1-2)</v>
      </c>
      <c r="Q34">
        <f t="shared" si="5"/>
        <v>0</v>
      </c>
      <c r="R34">
        <f t="shared" si="6"/>
        <v>1</v>
      </c>
      <c r="S34">
        <f t="shared" si="7"/>
        <v>15</v>
      </c>
    </row>
    <row r="35" spans="1:19" x14ac:dyDescent="0.3">
      <c r="A35" t="s">
        <v>87</v>
      </c>
      <c r="B35" s="1">
        <v>45749</v>
      </c>
      <c r="C35" t="s">
        <v>35</v>
      </c>
      <c r="D35" t="s">
        <v>36</v>
      </c>
      <c r="E35">
        <v>20</v>
      </c>
      <c r="F35">
        <v>5</v>
      </c>
      <c r="G35">
        <v>100</v>
      </c>
      <c r="H35" t="s">
        <v>80</v>
      </c>
      <c r="I35" t="s">
        <v>15</v>
      </c>
      <c r="J35" t="s">
        <v>31</v>
      </c>
      <c r="K35" t="s">
        <v>23</v>
      </c>
      <c r="L35" s="1" t="str">
        <f t="shared" si="0"/>
        <v>April</v>
      </c>
      <c r="M35" s="3">
        <f t="shared" si="1"/>
        <v>4</v>
      </c>
      <c r="N35" t="str">
        <f t="shared" si="2"/>
        <v>Q2</v>
      </c>
      <c r="O35" t="str">
        <f t="shared" si="3"/>
        <v>Low (&lt;2K)</v>
      </c>
      <c r="P35" t="str">
        <f t="shared" si="4"/>
        <v>Bulk (5+)</v>
      </c>
      <c r="Q35">
        <f t="shared" si="5"/>
        <v>0</v>
      </c>
      <c r="R35">
        <f t="shared" si="6"/>
        <v>0</v>
      </c>
      <c r="S35">
        <f t="shared" si="7"/>
        <v>0</v>
      </c>
    </row>
    <row r="36" spans="1:19" x14ac:dyDescent="0.3">
      <c r="A36" t="s">
        <v>88</v>
      </c>
      <c r="B36" s="1">
        <v>45749</v>
      </c>
      <c r="C36" t="s">
        <v>56</v>
      </c>
      <c r="D36" t="s">
        <v>20</v>
      </c>
      <c r="E36">
        <v>800</v>
      </c>
      <c r="F36">
        <v>3</v>
      </c>
      <c r="G36">
        <v>2400</v>
      </c>
      <c r="H36" t="s">
        <v>14</v>
      </c>
      <c r="I36" t="s">
        <v>26</v>
      </c>
      <c r="J36" t="s">
        <v>27</v>
      </c>
      <c r="K36" t="s">
        <v>40</v>
      </c>
      <c r="L36" s="1" t="str">
        <f t="shared" si="0"/>
        <v>April</v>
      </c>
      <c r="M36" s="3">
        <f t="shared" si="1"/>
        <v>4</v>
      </c>
      <c r="N36" t="str">
        <f t="shared" si="2"/>
        <v>Q2</v>
      </c>
      <c r="O36" t="str">
        <f t="shared" si="3"/>
        <v>Mid (2K-5K)</v>
      </c>
      <c r="P36" t="str">
        <f t="shared" si="4"/>
        <v>Medium (3-4)</v>
      </c>
      <c r="Q36">
        <f t="shared" si="5"/>
        <v>1</v>
      </c>
      <c r="R36">
        <f t="shared" si="6"/>
        <v>0</v>
      </c>
      <c r="S36">
        <f t="shared" si="7"/>
        <v>0</v>
      </c>
    </row>
    <row r="37" spans="1:19" x14ac:dyDescent="0.3">
      <c r="A37" t="s">
        <v>89</v>
      </c>
      <c r="B37" s="1">
        <v>45697</v>
      </c>
      <c r="C37" t="s">
        <v>65</v>
      </c>
      <c r="D37" t="s">
        <v>61</v>
      </c>
      <c r="E37">
        <v>1200</v>
      </c>
      <c r="F37">
        <v>2</v>
      </c>
      <c r="G37">
        <v>2400</v>
      </c>
      <c r="H37" t="s">
        <v>43</v>
      </c>
      <c r="I37" t="s">
        <v>46</v>
      </c>
      <c r="J37" t="s">
        <v>39</v>
      </c>
      <c r="K37" t="s">
        <v>17</v>
      </c>
      <c r="L37" s="1" t="str">
        <f t="shared" si="0"/>
        <v>February</v>
      </c>
      <c r="M37" s="3">
        <f t="shared" si="1"/>
        <v>2</v>
      </c>
      <c r="N37" t="str">
        <f t="shared" si="2"/>
        <v>Q1</v>
      </c>
      <c r="O37" t="str">
        <f t="shared" si="3"/>
        <v>Mid (2K-5K)</v>
      </c>
      <c r="P37" t="str">
        <f t="shared" si="4"/>
        <v>Small (1-2)</v>
      </c>
      <c r="Q37">
        <f t="shared" si="5"/>
        <v>0</v>
      </c>
      <c r="R37">
        <f t="shared" si="6"/>
        <v>1</v>
      </c>
      <c r="S37">
        <f t="shared" si="7"/>
        <v>2400</v>
      </c>
    </row>
    <row r="38" spans="1:19" x14ac:dyDescent="0.3">
      <c r="A38" t="s">
        <v>90</v>
      </c>
      <c r="B38" s="1">
        <v>45704</v>
      </c>
      <c r="C38" t="s">
        <v>19</v>
      </c>
      <c r="D38" t="s">
        <v>20</v>
      </c>
      <c r="E38">
        <v>100</v>
      </c>
      <c r="F38">
        <v>3</v>
      </c>
      <c r="G38">
        <v>300</v>
      </c>
      <c r="H38" t="s">
        <v>54</v>
      </c>
      <c r="I38" t="s">
        <v>15</v>
      </c>
      <c r="J38" t="s">
        <v>16</v>
      </c>
      <c r="K38" t="s">
        <v>17</v>
      </c>
      <c r="L38" s="1" t="str">
        <f t="shared" si="0"/>
        <v>February</v>
      </c>
      <c r="M38" s="3">
        <f t="shared" si="1"/>
        <v>2</v>
      </c>
      <c r="N38" t="str">
        <f t="shared" si="2"/>
        <v>Q1</v>
      </c>
      <c r="O38" t="str">
        <f t="shared" si="3"/>
        <v>Low (&lt;2K)</v>
      </c>
      <c r="P38" t="str">
        <f t="shared" si="4"/>
        <v>Medium (3-4)</v>
      </c>
      <c r="Q38">
        <f t="shared" si="5"/>
        <v>0</v>
      </c>
      <c r="R38">
        <f t="shared" si="6"/>
        <v>1</v>
      </c>
      <c r="S38">
        <f t="shared" si="7"/>
        <v>300</v>
      </c>
    </row>
    <row r="39" spans="1:19" x14ac:dyDescent="0.3">
      <c r="A39" t="s">
        <v>91</v>
      </c>
      <c r="B39" s="1">
        <v>45742</v>
      </c>
      <c r="C39" t="s">
        <v>56</v>
      </c>
      <c r="D39" t="s">
        <v>20</v>
      </c>
      <c r="E39">
        <v>800</v>
      </c>
      <c r="F39">
        <v>3</v>
      </c>
      <c r="G39">
        <v>2400</v>
      </c>
      <c r="H39" t="s">
        <v>29</v>
      </c>
      <c r="I39" t="s">
        <v>81</v>
      </c>
      <c r="J39" t="s">
        <v>27</v>
      </c>
      <c r="K39" t="s">
        <v>40</v>
      </c>
      <c r="L39" s="1" t="str">
        <f t="shared" si="0"/>
        <v>March</v>
      </c>
      <c r="M39" s="3">
        <f t="shared" si="1"/>
        <v>3</v>
      </c>
      <c r="N39" t="str">
        <f t="shared" si="2"/>
        <v>Q1</v>
      </c>
      <c r="O39" t="str">
        <f t="shared" si="3"/>
        <v>Mid (2K-5K)</v>
      </c>
      <c r="P39" t="str">
        <f t="shared" si="4"/>
        <v>Medium (3-4)</v>
      </c>
      <c r="Q39">
        <f t="shared" si="5"/>
        <v>1</v>
      </c>
      <c r="R39">
        <f t="shared" si="6"/>
        <v>0</v>
      </c>
      <c r="S39">
        <f t="shared" si="7"/>
        <v>0</v>
      </c>
    </row>
    <row r="40" spans="1:19" x14ac:dyDescent="0.3">
      <c r="A40" t="s">
        <v>92</v>
      </c>
      <c r="B40" s="1">
        <v>45718</v>
      </c>
      <c r="C40" t="s">
        <v>56</v>
      </c>
      <c r="D40" t="s">
        <v>20</v>
      </c>
      <c r="E40">
        <v>800</v>
      </c>
      <c r="F40">
        <v>2</v>
      </c>
      <c r="G40">
        <v>1600</v>
      </c>
      <c r="H40" t="s">
        <v>29</v>
      </c>
      <c r="I40" t="s">
        <v>22</v>
      </c>
      <c r="J40" t="s">
        <v>39</v>
      </c>
      <c r="K40" t="s">
        <v>40</v>
      </c>
      <c r="L40" s="1" t="str">
        <f t="shared" si="0"/>
        <v>March</v>
      </c>
      <c r="M40" s="3">
        <f t="shared" si="1"/>
        <v>3</v>
      </c>
      <c r="N40" t="str">
        <f t="shared" si="2"/>
        <v>Q1</v>
      </c>
      <c r="O40" t="str">
        <f t="shared" si="3"/>
        <v>Low (&lt;2K)</v>
      </c>
      <c r="P40" t="str">
        <f t="shared" si="4"/>
        <v>Small (1-2)</v>
      </c>
      <c r="Q40">
        <f t="shared" si="5"/>
        <v>1</v>
      </c>
      <c r="R40">
        <f t="shared" si="6"/>
        <v>0</v>
      </c>
      <c r="S40">
        <f t="shared" si="7"/>
        <v>0</v>
      </c>
    </row>
    <row r="41" spans="1:19" x14ac:dyDescent="0.3">
      <c r="A41" t="s">
        <v>93</v>
      </c>
      <c r="B41" s="1">
        <v>45742</v>
      </c>
      <c r="C41" t="s">
        <v>33</v>
      </c>
      <c r="D41" t="s">
        <v>20</v>
      </c>
      <c r="E41">
        <v>150</v>
      </c>
      <c r="F41">
        <v>1</v>
      </c>
      <c r="G41">
        <v>150</v>
      </c>
      <c r="H41" t="s">
        <v>21</v>
      </c>
      <c r="I41" t="s">
        <v>63</v>
      </c>
      <c r="J41" t="s">
        <v>58</v>
      </c>
      <c r="K41" t="s">
        <v>23</v>
      </c>
      <c r="L41" s="1" t="str">
        <f t="shared" si="0"/>
        <v>March</v>
      </c>
      <c r="M41" s="3">
        <f t="shared" si="1"/>
        <v>3</v>
      </c>
      <c r="N41" t="str">
        <f t="shared" si="2"/>
        <v>Q1</v>
      </c>
      <c r="O41" t="str">
        <f t="shared" si="3"/>
        <v>Low (&lt;2K)</v>
      </c>
      <c r="P41" t="str">
        <f t="shared" si="4"/>
        <v>Small (1-2)</v>
      </c>
      <c r="Q41">
        <f t="shared" si="5"/>
        <v>0</v>
      </c>
      <c r="R41">
        <f t="shared" si="6"/>
        <v>0</v>
      </c>
      <c r="S41">
        <f t="shared" si="7"/>
        <v>0</v>
      </c>
    </row>
    <row r="42" spans="1:19" x14ac:dyDescent="0.3">
      <c r="A42" t="s">
        <v>94</v>
      </c>
      <c r="B42" s="1">
        <v>45708</v>
      </c>
      <c r="C42" t="s">
        <v>49</v>
      </c>
      <c r="D42" t="s">
        <v>50</v>
      </c>
      <c r="E42">
        <v>15</v>
      </c>
      <c r="F42">
        <v>1</v>
      </c>
      <c r="G42">
        <v>15</v>
      </c>
      <c r="H42" t="s">
        <v>80</v>
      </c>
      <c r="I42" t="s">
        <v>44</v>
      </c>
      <c r="J42" t="s">
        <v>31</v>
      </c>
      <c r="K42" t="s">
        <v>17</v>
      </c>
      <c r="L42" s="1" t="str">
        <f t="shared" si="0"/>
        <v>February</v>
      </c>
      <c r="M42" s="3">
        <f t="shared" si="1"/>
        <v>2</v>
      </c>
      <c r="N42" t="str">
        <f t="shared" si="2"/>
        <v>Q1</v>
      </c>
      <c r="O42" t="str">
        <f t="shared" si="3"/>
        <v>Low (&lt;2K)</v>
      </c>
      <c r="P42" t="str">
        <f t="shared" si="4"/>
        <v>Small (1-2)</v>
      </c>
      <c r="Q42">
        <f t="shared" si="5"/>
        <v>0</v>
      </c>
      <c r="R42">
        <f t="shared" si="6"/>
        <v>1</v>
      </c>
      <c r="S42">
        <f t="shared" si="7"/>
        <v>15</v>
      </c>
    </row>
    <row r="43" spans="1:19" x14ac:dyDescent="0.3">
      <c r="A43" t="s">
        <v>95</v>
      </c>
      <c r="B43" s="1">
        <v>45733</v>
      </c>
      <c r="C43" t="s">
        <v>19</v>
      </c>
      <c r="D43" t="s">
        <v>20</v>
      </c>
      <c r="E43">
        <v>100</v>
      </c>
      <c r="F43">
        <v>3</v>
      </c>
      <c r="G43">
        <v>300</v>
      </c>
      <c r="H43" t="s">
        <v>80</v>
      </c>
      <c r="I43" t="s">
        <v>81</v>
      </c>
      <c r="J43" t="s">
        <v>27</v>
      </c>
      <c r="K43" t="s">
        <v>17</v>
      </c>
      <c r="L43" s="1" t="str">
        <f t="shared" si="0"/>
        <v>March</v>
      </c>
      <c r="M43" s="3">
        <f t="shared" si="1"/>
        <v>3</v>
      </c>
      <c r="N43" t="str">
        <f t="shared" si="2"/>
        <v>Q1</v>
      </c>
      <c r="O43" t="str">
        <f t="shared" si="3"/>
        <v>Low (&lt;2K)</v>
      </c>
      <c r="P43" t="str">
        <f t="shared" si="4"/>
        <v>Medium (3-4)</v>
      </c>
      <c r="Q43">
        <f t="shared" si="5"/>
        <v>0</v>
      </c>
      <c r="R43">
        <f t="shared" si="6"/>
        <v>1</v>
      </c>
      <c r="S43">
        <f t="shared" si="7"/>
        <v>300</v>
      </c>
    </row>
    <row r="44" spans="1:19" x14ac:dyDescent="0.3">
      <c r="A44" t="s">
        <v>96</v>
      </c>
      <c r="B44" s="1">
        <v>45696</v>
      </c>
      <c r="C44" t="s">
        <v>35</v>
      </c>
      <c r="D44" t="s">
        <v>36</v>
      </c>
      <c r="E44">
        <v>20</v>
      </c>
      <c r="F44">
        <v>4</v>
      </c>
      <c r="G44">
        <v>80</v>
      </c>
      <c r="H44" t="s">
        <v>80</v>
      </c>
      <c r="I44" t="s">
        <v>26</v>
      </c>
      <c r="J44" t="s">
        <v>31</v>
      </c>
      <c r="K44" t="s">
        <v>23</v>
      </c>
      <c r="L44" s="1" t="str">
        <f t="shared" si="0"/>
        <v>February</v>
      </c>
      <c r="M44" s="3">
        <f t="shared" si="1"/>
        <v>2</v>
      </c>
      <c r="N44" t="str">
        <f t="shared" si="2"/>
        <v>Q1</v>
      </c>
      <c r="O44" t="str">
        <f t="shared" si="3"/>
        <v>Low (&lt;2K)</v>
      </c>
      <c r="P44" t="str">
        <f t="shared" si="4"/>
        <v>Medium (3-4)</v>
      </c>
      <c r="Q44">
        <f t="shared" si="5"/>
        <v>0</v>
      </c>
      <c r="R44">
        <f t="shared" si="6"/>
        <v>0</v>
      </c>
      <c r="S44">
        <f t="shared" si="7"/>
        <v>0</v>
      </c>
    </row>
    <row r="45" spans="1:19" x14ac:dyDescent="0.3">
      <c r="A45" t="s">
        <v>97</v>
      </c>
      <c r="B45" s="1">
        <v>45740</v>
      </c>
      <c r="C45" t="s">
        <v>33</v>
      </c>
      <c r="D45" t="s">
        <v>20</v>
      </c>
      <c r="E45">
        <v>150</v>
      </c>
      <c r="F45">
        <v>1</v>
      </c>
      <c r="G45">
        <v>150</v>
      </c>
      <c r="H45" t="s">
        <v>72</v>
      </c>
      <c r="I45" t="s">
        <v>38</v>
      </c>
      <c r="J45" t="s">
        <v>16</v>
      </c>
      <c r="K45" t="s">
        <v>23</v>
      </c>
      <c r="L45" s="1" t="str">
        <f t="shared" si="0"/>
        <v>March</v>
      </c>
      <c r="M45" s="3">
        <f t="shared" si="1"/>
        <v>3</v>
      </c>
      <c r="N45" t="str">
        <f t="shared" si="2"/>
        <v>Q1</v>
      </c>
      <c r="O45" t="str">
        <f t="shared" si="3"/>
        <v>Low (&lt;2K)</v>
      </c>
      <c r="P45" t="str">
        <f t="shared" si="4"/>
        <v>Small (1-2)</v>
      </c>
      <c r="Q45">
        <f t="shared" si="5"/>
        <v>0</v>
      </c>
      <c r="R45">
        <f t="shared" si="6"/>
        <v>0</v>
      </c>
      <c r="S45">
        <f t="shared" si="7"/>
        <v>0</v>
      </c>
    </row>
    <row r="46" spans="1:19" x14ac:dyDescent="0.3">
      <c r="A46" t="s">
        <v>98</v>
      </c>
      <c r="B46" s="1">
        <v>45731</v>
      </c>
      <c r="C46" t="s">
        <v>65</v>
      </c>
      <c r="D46" t="s">
        <v>61</v>
      </c>
      <c r="E46">
        <v>1200</v>
      </c>
      <c r="F46">
        <v>3</v>
      </c>
      <c r="G46">
        <v>3600</v>
      </c>
      <c r="H46" t="s">
        <v>57</v>
      </c>
      <c r="I46" t="s">
        <v>15</v>
      </c>
      <c r="J46" t="s">
        <v>31</v>
      </c>
      <c r="K46" t="s">
        <v>23</v>
      </c>
      <c r="L46" s="1" t="str">
        <f t="shared" si="0"/>
        <v>March</v>
      </c>
      <c r="M46" s="3">
        <f t="shared" si="1"/>
        <v>3</v>
      </c>
      <c r="N46" t="str">
        <f t="shared" si="2"/>
        <v>Q1</v>
      </c>
      <c r="O46" t="str">
        <f t="shared" si="3"/>
        <v>Mid (2K-5K)</v>
      </c>
      <c r="P46" t="str">
        <f t="shared" si="4"/>
        <v>Medium (3-4)</v>
      </c>
      <c r="Q46">
        <f t="shared" si="5"/>
        <v>0</v>
      </c>
      <c r="R46">
        <f t="shared" si="6"/>
        <v>0</v>
      </c>
      <c r="S46">
        <f t="shared" si="7"/>
        <v>0</v>
      </c>
    </row>
    <row r="47" spans="1:19" x14ac:dyDescent="0.3">
      <c r="A47" t="s">
        <v>99</v>
      </c>
      <c r="B47" s="1">
        <v>45722</v>
      </c>
      <c r="C47" t="s">
        <v>12</v>
      </c>
      <c r="D47" t="s">
        <v>13</v>
      </c>
      <c r="E47">
        <v>60</v>
      </c>
      <c r="F47">
        <v>2</v>
      </c>
      <c r="G47">
        <v>120</v>
      </c>
      <c r="H47" t="s">
        <v>51</v>
      </c>
      <c r="I47" t="s">
        <v>38</v>
      </c>
      <c r="J47" t="s">
        <v>16</v>
      </c>
      <c r="K47" t="s">
        <v>17</v>
      </c>
      <c r="L47" s="1" t="str">
        <f t="shared" si="0"/>
        <v>March</v>
      </c>
      <c r="M47" s="3">
        <f t="shared" si="1"/>
        <v>3</v>
      </c>
      <c r="N47" t="str">
        <f t="shared" si="2"/>
        <v>Q1</v>
      </c>
      <c r="O47" t="str">
        <f t="shared" si="3"/>
        <v>Low (&lt;2K)</v>
      </c>
      <c r="P47" t="str">
        <f t="shared" si="4"/>
        <v>Small (1-2)</v>
      </c>
      <c r="Q47">
        <f t="shared" si="5"/>
        <v>0</v>
      </c>
      <c r="R47">
        <f t="shared" si="6"/>
        <v>1</v>
      </c>
      <c r="S47">
        <f t="shared" si="7"/>
        <v>120</v>
      </c>
    </row>
    <row r="48" spans="1:19" x14ac:dyDescent="0.3">
      <c r="A48" t="s">
        <v>100</v>
      </c>
      <c r="B48" s="1">
        <v>45742</v>
      </c>
      <c r="C48" t="s">
        <v>35</v>
      </c>
      <c r="D48" t="s">
        <v>36</v>
      </c>
      <c r="E48">
        <v>20</v>
      </c>
      <c r="F48">
        <v>2</v>
      </c>
      <c r="G48">
        <v>40</v>
      </c>
      <c r="H48" t="s">
        <v>72</v>
      </c>
      <c r="I48" t="s">
        <v>44</v>
      </c>
      <c r="J48" t="s">
        <v>58</v>
      </c>
      <c r="K48" t="s">
        <v>17</v>
      </c>
      <c r="L48" s="1" t="str">
        <f t="shared" si="0"/>
        <v>March</v>
      </c>
      <c r="M48" s="3">
        <f t="shared" si="1"/>
        <v>3</v>
      </c>
      <c r="N48" t="str">
        <f t="shared" si="2"/>
        <v>Q1</v>
      </c>
      <c r="O48" t="str">
        <f t="shared" si="3"/>
        <v>Low (&lt;2K)</v>
      </c>
      <c r="P48" t="str">
        <f t="shared" si="4"/>
        <v>Small (1-2)</v>
      </c>
      <c r="Q48">
        <f t="shared" si="5"/>
        <v>0</v>
      </c>
      <c r="R48">
        <f t="shared" si="6"/>
        <v>1</v>
      </c>
      <c r="S48">
        <f t="shared" si="7"/>
        <v>40</v>
      </c>
    </row>
    <row r="49" spans="1:19" x14ac:dyDescent="0.3">
      <c r="A49" t="s">
        <v>101</v>
      </c>
      <c r="B49" s="1">
        <v>45699</v>
      </c>
      <c r="C49" t="s">
        <v>35</v>
      </c>
      <c r="D49" t="s">
        <v>36</v>
      </c>
      <c r="E49">
        <v>20</v>
      </c>
      <c r="F49">
        <v>5</v>
      </c>
      <c r="G49">
        <v>100</v>
      </c>
      <c r="H49" t="s">
        <v>80</v>
      </c>
      <c r="I49" t="s">
        <v>26</v>
      </c>
      <c r="J49" t="s">
        <v>27</v>
      </c>
      <c r="K49" t="s">
        <v>40</v>
      </c>
      <c r="L49" s="1" t="str">
        <f t="shared" si="0"/>
        <v>February</v>
      </c>
      <c r="M49" s="3">
        <f t="shared" si="1"/>
        <v>2</v>
      </c>
      <c r="N49" t="str">
        <f t="shared" si="2"/>
        <v>Q1</v>
      </c>
      <c r="O49" t="str">
        <f t="shared" si="3"/>
        <v>Low (&lt;2K)</v>
      </c>
      <c r="P49" t="str">
        <f t="shared" si="4"/>
        <v>Bulk (5+)</v>
      </c>
      <c r="Q49">
        <f t="shared" si="5"/>
        <v>1</v>
      </c>
      <c r="R49">
        <f t="shared" si="6"/>
        <v>0</v>
      </c>
      <c r="S49">
        <f t="shared" si="7"/>
        <v>0</v>
      </c>
    </row>
    <row r="50" spans="1:19" x14ac:dyDescent="0.3">
      <c r="A50" t="s">
        <v>102</v>
      </c>
      <c r="B50" s="1">
        <v>45706</v>
      </c>
      <c r="C50" t="s">
        <v>42</v>
      </c>
      <c r="D50" t="s">
        <v>20</v>
      </c>
      <c r="E50">
        <v>500</v>
      </c>
      <c r="F50">
        <v>4</v>
      </c>
      <c r="G50">
        <v>2000</v>
      </c>
      <c r="H50" t="s">
        <v>14</v>
      </c>
      <c r="I50" t="s">
        <v>81</v>
      </c>
      <c r="J50" t="s">
        <v>16</v>
      </c>
      <c r="K50" t="s">
        <v>40</v>
      </c>
      <c r="L50" s="1" t="str">
        <f t="shared" si="0"/>
        <v>February</v>
      </c>
      <c r="M50" s="3">
        <f t="shared" si="1"/>
        <v>2</v>
      </c>
      <c r="N50" t="str">
        <f t="shared" si="2"/>
        <v>Q1</v>
      </c>
      <c r="O50" t="str">
        <f t="shared" si="3"/>
        <v>Mid (2K-5K)</v>
      </c>
      <c r="P50" t="str">
        <f t="shared" si="4"/>
        <v>Medium (3-4)</v>
      </c>
      <c r="Q50">
        <f t="shared" si="5"/>
        <v>1</v>
      </c>
      <c r="R50">
        <f t="shared" si="6"/>
        <v>0</v>
      </c>
      <c r="S50">
        <f t="shared" si="7"/>
        <v>0</v>
      </c>
    </row>
    <row r="51" spans="1:19" x14ac:dyDescent="0.3">
      <c r="A51" t="s">
        <v>103</v>
      </c>
      <c r="B51" s="1">
        <v>45730</v>
      </c>
      <c r="C51" t="s">
        <v>53</v>
      </c>
      <c r="D51" t="s">
        <v>36</v>
      </c>
      <c r="E51">
        <v>40</v>
      </c>
      <c r="F51">
        <v>3</v>
      </c>
      <c r="G51">
        <v>120</v>
      </c>
      <c r="H51" t="s">
        <v>25</v>
      </c>
      <c r="I51" t="s">
        <v>46</v>
      </c>
      <c r="J51" t="s">
        <v>58</v>
      </c>
      <c r="K51" t="s">
        <v>40</v>
      </c>
      <c r="L51" s="1" t="str">
        <f t="shared" si="0"/>
        <v>March</v>
      </c>
      <c r="M51" s="3">
        <f t="shared" si="1"/>
        <v>3</v>
      </c>
      <c r="N51" t="str">
        <f t="shared" si="2"/>
        <v>Q1</v>
      </c>
      <c r="O51" t="str">
        <f t="shared" si="3"/>
        <v>Low (&lt;2K)</v>
      </c>
      <c r="P51" t="str">
        <f t="shared" si="4"/>
        <v>Medium (3-4)</v>
      </c>
      <c r="Q51">
        <f t="shared" si="5"/>
        <v>1</v>
      </c>
      <c r="R51">
        <f t="shared" si="6"/>
        <v>0</v>
      </c>
      <c r="S51">
        <f t="shared" si="7"/>
        <v>0</v>
      </c>
    </row>
    <row r="52" spans="1:19" x14ac:dyDescent="0.3">
      <c r="A52" t="s">
        <v>104</v>
      </c>
      <c r="B52" s="1">
        <v>45707</v>
      </c>
      <c r="C52" t="s">
        <v>49</v>
      </c>
      <c r="D52" t="s">
        <v>50</v>
      </c>
      <c r="E52">
        <v>15</v>
      </c>
      <c r="F52">
        <v>1</v>
      </c>
      <c r="G52">
        <v>15</v>
      </c>
      <c r="H52" t="s">
        <v>14</v>
      </c>
      <c r="I52" t="s">
        <v>38</v>
      </c>
      <c r="J52" t="s">
        <v>58</v>
      </c>
      <c r="K52" t="s">
        <v>17</v>
      </c>
      <c r="L52" s="1" t="str">
        <f t="shared" si="0"/>
        <v>February</v>
      </c>
      <c r="M52" s="3">
        <f t="shared" si="1"/>
        <v>2</v>
      </c>
      <c r="N52" t="str">
        <f t="shared" si="2"/>
        <v>Q1</v>
      </c>
      <c r="O52" t="str">
        <f t="shared" si="3"/>
        <v>Low (&lt;2K)</v>
      </c>
      <c r="P52" t="str">
        <f t="shared" si="4"/>
        <v>Small (1-2)</v>
      </c>
      <c r="Q52">
        <f t="shared" si="5"/>
        <v>0</v>
      </c>
      <c r="R52">
        <f t="shared" si="6"/>
        <v>1</v>
      </c>
      <c r="S52">
        <f t="shared" si="7"/>
        <v>15</v>
      </c>
    </row>
    <row r="53" spans="1:19" x14ac:dyDescent="0.3">
      <c r="A53" t="s">
        <v>105</v>
      </c>
      <c r="B53" s="1">
        <v>45712</v>
      </c>
      <c r="C53" t="s">
        <v>56</v>
      </c>
      <c r="D53" t="s">
        <v>20</v>
      </c>
      <c r="E53">
        <v>800</v>
      </c>
      <c r="F53">
        <v>3</v>
      </c>
      <c r="G53">
        <v>2400</v>
      </c>
      <c r="H53" t="s">
        <v>25</v>
      </c>
      <c r="I53" t="s">
        <v>22</v>
      </c>
      <c r="J53" t="s">
        <v>31</v>
      </c>
      <c r="K53" t="s">
        <v>23</v>
      </c>
      <c r="L53" s="1" t="str">
        <f t="shared" si="0"/>
        <v>February</v>
      </c>
      <c r="M53" s="3">
        <f t="shared" si="1"/>
        <v>2</v>
      </c>
      <c r="N53" t="str">
        <f t="shared" si="2"/>
        <v>Q1</v>
      </c>
      <c r="O53" t="str">
        <f t="shared" si="3"/>
        <v>Mid (2K-5K)</v>
      </c>
      <c r="P53" t="str">
        <f t="shared" si="4"/>
        <v>Medium (3-4)</v>
      </c>
      <c r="Q53">
        <f t="shared" si="5"/>
        <v>0</v>
      </c>
      <c r="R53">
        <f t="shared" si="6"/>
        <v>0</v>
      </c>
      <c r="S53">
        <f t="shared" si="7"/>
        <v>0</v>
      </c>
    </row>
    <row r="54" spans="1:19" x14ac:dyDescent="0.3">
      <c r="A54" t="s">
        <v>106</v>
      </c>
      <c r="B54" s="1">
        <v>45740</v>
      </c>
      <c r="C54" t="s">
        <v>12</v>
      </c>
      <c r="D54" t="s">
        <v>13</v>
      </c>
      <c r="E54">
        <v>60</v>
      </c>
      <c r="F54">
        <v>4</v>
      </c>
      <c r="G54">
        <v>240</v>
      </c>
      <c r="H54" t="s">
        <v>21</v>
      </c>
      <c r="I54" t="s">
        <v>68</v>
      </c>
      <c r="J54" t="s">
        <v>39</v>
      </c>
      <c r="K54" t="s">
        <v>40</v>
      </c>
      <c r="L54" s="1" t="str">
        <f t="shared" si="0"/>
        <v>March</v>
      </c>
      <c r="M54" s="3">
        <f t="shared" si="1"/>
        <v>3</v>
      </c>
      <c r="N54" t="str">
        <f t="shared" si="2"/>
        <v>Q1</v>
      </c>
      <c r="O54" t="str">
        <f t="shared" si="3"/>
        <v>Low (&lt;2K)</v>
      </c>
      <c r="P54" t="str">
        <f t="shared" si="4"/>
        <v>Medium (3-4)</v>
      </c>
      <c r="Q54">
        <f t="shared" si="5"/>
        <v>1</v>
      </c>
      <c r="R54">
        <f t="shared" si="6"/>
        <v>0</v>
      </c>
      <c r="S54">
        <f t="shared" si="7"/>
        <v>0</v>
      </c>
    </row>
    <row r="55" spans="1:19" x14ac:dyDescent="0.3">
      <c r="A55" t="s">
        <v>107</v>
      </c>
      <c r="B55" s="1">
        <v>45731</v>
      </c>
      <c r="C55" t="s">
        <v>33</v>
      </c>
      <c r="D55" t="s">
        <v>20</v>
      </c>
      <c r="E55">
        <v>150</v>
      </c>
      <c r="F55">
        <v>3</v>
      </c>
      <c r="G55">
        <v>450</v>
      </c>
      <c r="H55" t="s">
        <v>51</v>
      </c>
      <c r="I55" t="s">
        <v>46</v>
      </c>
      <c r="J55" t="s">
        <v>58</v>
      </c>
      <c r="K55" t="s">
        <v>23</v>
      </c>
      <c r="L55" s="1" t="str">
        <f t="shared" si="0"/>
        <v>March</v>
      </c>
      <c r="M55" s="3">
        <f t="shared" si="1"/>
        <v>3</v>
      </c>
      <c r="N55" t="str">
        <f t="shared" si="2"/>
        <v>Q1</v>
      </c>
      <c r="O55" t="str">
        <f t="shared" si="3"/>
        <v>Low (&lt;2K)</v>
      </c>
      <c r="P55" t="str">
        <f t="shared" si="4"/>
        <v>Medium (3-4)</v>
      </c>
      <c r="Q55">
        <f t="shared" si="5"/>
        <v>0</v>
      </c>
      <c r="R55">
        <f t="shared" si="6"/>
        <v>0</v>
      </c>
      <c r="S55">
        <f t="shared" si="7"/>
        <v>0</v>
      </c>
    </row>
    <row r="56" spans="1:19" x14ac:dyDescent="0.3">
      <c r="A56" t="s">
        <v>108</v>
      </c>
      <c r="B56" s="1">
        <v>45731</v>
      </c>
      <c r="C56" t="s">
        <v>53</v>
      </c>
      <c r="D56" t="s">
        <v>36</v>
      </c>
      <c r="E56">
        <v>40</v>
      </c>
      <c r="F56">
        <v>2</v>
      </c>
      <c r="G56">
        <v>80</v>
      </c>
      <c r="H56" t="s">
        <v>43</v>
      </c>
      <c r="I56" t="s">
        <v>30</v>
      </c>
      <c r="J56" t="s">
        <v>39</v>
      </c>
      <c r="K56" t="s">
        <v>40</v>
      </c>
      <c r="L56" s="1" t="str">
        <f t="shared" si="0"/>
        <v>March</v>
      </c>
      <c r="M56" s="3">
        <f t="shared" si="1"/>
        <v>3</v>
      </c>
      <c r="N56" t="str">
        <f t="shared" si="2"/>
        <v>Q1</v>
      </c>
      <c r="O56" t="str">
        <f t="shared" si="3"/>
        <v>Low (&lt;2K)</v>
      </c>
      <c r="P56" t="str">
        <f t="shared" si="4"/>
        <v>Small (1-2)</v>
      </c>
      <c r="Q56">
        <f t="shared" si="5"/>
        <v>1</v>
      </c>
      <c r="R56">
        <f t="shared" si="6"/>
        <v>0</v>
      </c>
      <c r="S56">
        <f t="shared" si="7"/>
        <v>0</v>
      </c>
    </row>
    <row r="57" spans="1:19" x14ac:dyDescent="0.3">
      <c r="A57" t="s">
        <v>109</v>
      </c>
      <c r="B57" s="1">
        <v>45735</v>
      </c>
      <c r="C57" t="s">
        <v>33</v>
      </c>
      <c r="D57" t="s">
        <v>20</v>
      </c>
      <c r="E57">
        <v>150</v>
      </c>
      <c r="F57">
        <v>2</v>
      </c>
      <c r="G57">
        <v>300</v>
      </c>
      <c r="H57" t="s">
        <v>14</v>
      </c>
      <c r="I57" t="s">
        <v>30</v>
      </c>
      <c r="J57" t="s">
        <v>31</v>
      </c>
      <c r="K57" t="s">
        <v>40</v>
      </c>
      <c r="L57" s="1" t="str">
        <f t="shared" si="0"/>
        <v>March</v>
      </c>
      <c r="M57" s="3">
        <f t="shared" si="1"/>
        <v>3</v>
      </c>
      <c r="N57" t="str">
        <f t="shared" si="2"/>
        <v>Q1</v>
      </c>
      <c r="O57" t="str">
        <f t="shared" si="3"/>
        <v>Low (&lt;2K)</v>
      </c>
      <c r="P57" t="str">
        <f t="shared" si="4"/>
        <v>Small (1-2)</v>
      </c>
      <c r="Q57">
        <f t="shared" si="5"/>
        <v>1</v>
      </c>
      <c r="R57">
        <f t="shared" si="6"/>
        <v>0</v>
      </c>
      <c r="S57">
        <f t="shared" si="7"/>
        <v>0</v>
      </c>
    </row>
    <row r="58" spans="1:19" x14ac:dyDescent="0.3">
      <c r="A58" t="s">
        <v>110</v>
      </c>
      <c r="B58" s="1">
        <v>45731</v>
      </c>
      <c r="C58" t="s">
        <v>42</v>
      </c>
      <c r="D58" t="s">
        <v>20</v>
      </c>
      <c r="E58">
        <v>500</v>
      </c>
      <c r="F58">
        <v>1</v>
      </c>
      <c r="G58">
        <v>500</v>
      </c>
      <c r="H58" t="s">
        <v>80</v>
      </c>
      <c r="I58" t="s">
        <v>68</v>
      </c>
      <c r="J58" t="s">
        <v>16</v>
      </c>
      <c r="K58" t="s">
        <v>17</v>
      </c>
      <c r="L58" s="1" t="str">
        <f t="shared" si="0"/>
        <v>March</v>
      </c>
      <c r="M58" s="3">
        <f t="shared" si="1"/>
        <v>3</v>
      </c>
      <c r="N58" t="str">
        <f t="shared" si="2"/>
        <v>Q1</v>
      </c>
      <c r="O58" t="str">
        <f t="shared" si="3"/>
        <v>Low (&lt;2K)</v>
      </c>
      <c r="P58" t="str">
        <f t="shared" si="4"/>
        <v>Small (1-2)</v>
      </c>
      <c r="Q58">
        <f t="shared" si="5"/>
        <v>0</v>
      </c>
      <c r="R58">
        <f t="shared" si="6"/>
        <v>1</v>
      </c>
      <c r="S58">
        <f t="shared" si="7"/>
        <v>500</v>
      </c>
    </row>
    <row r="59" spans="1:19" x14ac:dyDescent="0.3">
      <c r="A59" t="s">
        <v>111</v>
      </c>
      <c r="B59" s="1">
        <v>45729</v>
      </c>
      <c r="C59" t="s">
        <v>42</v>
      </c>
      <c r="D59" t="s">
        <v>20</v>
      </c>
      <c r="E59">
        <v>500</v>
      </c>
      <c r="F59">
        <v>1</v>
      </c>
      <c r="G59">
        <v>500</v>
      </c>
      <c r="H59" t="s">
        <v>80</v>
      </c>
      <c r="I59" t="s">
        <v>81</v>
      </c>
      <c r="J59" t="s">
        <v>39</v>
      </c>
      <c r="K59" t="s">
        <v>17</v>
      </c>
      <c r="L59" s="1" t="str">
        <f t="shared" si="0"/>
        <v>March</v>
      </c>
      <c r="M59" s="3">
        <f t="shared" si="1"/>
        <v>3</v>
      </c>
      <c r="N59" t="str">
        <f t="shared" si="2"/>
        <v>Q1</v>
      </c>
      <c r="O59" t="str">
        <f t="shared" si="3"/>
        <v>Low (&lt;2K)</v>
      </c>
      <c r="P59" t="str">
        <f t="shared" si="4"/>
        <v>Small (1-2)</v>
      </c>
      <c r="Q59">
        <f t="shared" si="5"/>
        <v>0</v>
      </c>
      <c r="R59">
        <f t="shared" si="6"/>
        <v>1</v>
      </c>
      <c r="S59">
        <f t="shared" si="7"/>
        <v>500</v>
      </c>
    </row>
    <row r="60" spans="1:19" x14ac:dyDescent="0.3">
      <c r="A60" t="s">
        <v>112</v>
      </c>
      <c r="B60" s="1">
        <v>45748</v>
      </c>
      <c r="C60" t="s">
        <v>33</v>
      </c>
      <c r="D60" t="s">
        <v>20</v>
      </c>
      <c r="E60">
        <v>150</v>
      </c>
      <c r="F60">
        <v>2</v>
      </c>
      <c r="G60">
        <v>300</v>
      </c>
      <c r="H60" t="s">
        <v>57</v>
      </c>
      <c r="I60" t="s">
        <v>30</v>
      </c>
      <c r="J60" t="s">
        <v>31</v>
      </c>
      <c r="K60" t="s">
        <v>17</v>
      </c>
      <c r="L60" s="1" t="str">
        <f t="shared" si="0"/>
        <v>April</v>
      </c>
      <c r="M60" s="3">
        <f t="shared" si="1"/>
        <v>4</v>
      </c>
      <c r="N60" t="str">
        <f t="shared" si="2"/>
        <v>Q2</v>
      </c>
      <c r="O60" t="str">
        <f t="shared" si="3"/>
        <v>Low (&lt;2K)</v>
      </c>
      <c r="P60" t="str">
        <f t="shared" si="4"/>
        <v>Small (1-2)</v>
      </c>
      <c r="Q60">
        <f t="shared" si="5"/>
        <v>0</v>
      </c>
      <c r="R60">
        <f t="shared" si="6"/>
        <v>1</v>
      </c>
      <c r="S60">
        <f t="shared" si="7"/>
        <v>300</v>
      </c>
    </row>
    <row r="61" spans="1:19" x14ac:dyDescent="0.3">
      <c r="A61" t="s">
        <v>113</v>
      </c>
      <c r="B61" s="1">
        <v>45728</v>
      </c>
      <c r="C61" t="s">
        <v>49</v>
      </c>
      <c r="D61" t="s">
        <v>50</v>
      </c>
      <c r="E61">
        <v>15</v>
      </c>
      <c r="F61">
        <v>5</v>
      </c>
      <c r="G61">
        <v>75</v>
      </c>
      <c r="H61" t="s">
        <v>80</v>
      </c>
      <c r="I61" t="s">
        <v>30</v>
      </c>
      <c r="J61" t="s">
        <v>31</v>
      </c>
      <c r="K61" t="s">
        <v>23</v>
      </c>
      <c r="L61" s="1" t="str">
        <f t="shared" si="0"/>
        <v>March</v>
      </c>
      <c r="M61" s="3">
        <f t="shared" si="1"/>
        <v>3</v>
      </c>
      <c r="N61" t="str">
        <f t="shared" si="2"/>
        <v>Q1</v>
      </c>
      <c r="O61" t="str">
        <f t="shared" si="3"/>
        <v>Low (&lt;2K)</v>
      </c>
      <c r="P61" t="str">
        <f t="shared" si="4"/>
        <v>Bulk (5+)</v>
      </c>
      <c r="Q61">
        <f t="shared" si="5"/>
        <v>0</v>
      </c>
      <c r="R61">
        <f t="shared" si="6"/>
        <v>0</v>
      </c>
      <c r="S61">
        <f t="shared" si="7"/>
        <v>0</v>
      </c>
    </row>
    <row r="62" spans="1:19" x14ac:dyDescent="0.3">
      <c r="A62" t="s">
        <v>114</v>
      </c>
      <c r="B62" s="1">
        <v>45727</v>
      </c>
      <c r="C62" t="s">
        <v>65</v>
      </c>
      <c r="D62" t="s">
        <v>61</v>
      </c>
      <c r="E62">
        <v>1200</v>
      </c>
      <c r="F62">
        <v>1</v>
      </c>
      <c r="G62">
        <v>1200</v>
      </c>
      <c r="H62" t="s">
        <v>80</v>
      </c>
      <c r="I62" t="s">
        <v>15</v>
      </c>
      <c r="J62" t="s">
        <v>39</v>
      </c>
      <c r="K62" t="s">
        <v>17</v>
      </c>
      <c r="L62" s="1" t="str">
        <f t="shared" si="0"/>
        <v>March</v>
      </c>
      <c r="M62" s="3">
        <f t="shared" si="1"/>
        <v>3</v>
      </c>
      <c r="N62" t="str">
        <f t="shared" si="2"/>
        <v>Q1</v>
      </c>
      <c r="O62" t="str">
        <f t="shared" si="3"/>
        <v>Low (&lt;2K)</v>
      </c>
      <c r="P62" t="str">
        <f t="shared" si="4"/>
        <v>Small (1-2)</v>
      </c>
      <c r="Q62">
        <f t="shared" si="5"/>
        <v>0</v>
      </c>
      <c r="R62">
        <f t="shared" si="6"/>
        <v>1</v>
      </c>
      <c r="S62">
        <f t="shared" si="7"/>
        <v>1200</v>
      </c>
    </row>
    <row r="63" spans="1:19" x14ac:dyDescent="0.3">
      <c r="A63" t="s">
        <v>115</v>
      </c>
      <c r="B63" s="1">
        <v>45698</v>
      </c>
      <c r="C63" t="s">
        <v>56</v>
      </c>
      <c r="D63" t="s">
        <v>20</v>
      </c>
      <c r="E63">
        <v>800</v>
      </c>
      <c r="F63">
        <v>5</v>
      </c>
      <c r="G63">
        <v>4000</v>
      </c>
      <c r="H63" t="s">
        <v>29</v>
      </c>
      <c r="I63" t="s">
        <v>22</v>
      </c>
      <c r="J63" t="s">
        <v>39</v>
      </c>
      <c r="K63" t="s">
        <v>40</v>
      </c>
      <c r="L63" s="1" t="str">
        <f t="shared" si="0"/>
        <v>February</v>
      </c>
      <c r="M63" s="3">
        <f t="shared" si="1"/>
        <v>2</v>
      </c>
      <c r="N63" t="str">
        <f t="shared" si="2"/>
        <v>Q1</v>
      </c>
      <c r="O63" t="str">
        <f t="shared" si="3"/>
        <v>Mid (2K-5K)</v>
      </c>
      <c r="P63" t="str">
        <f t="shared" si="4"/>
        <v>Bulk (5+)</v>
      </c>
      <c r="Q63">
        <f t="shared" si="5"/>
        <v>1</v>
      </c>
      <c r="R63">
        <f t="shared" si="6"/>
        <v>0</v>
      </c>
      <c r="S63">
        <f t="shared" si="7"/>
        <v>0</v>
      </c>
    </row>
    <row r="64" spans="1:19" x14ac:dyDescent="0.3">
      <c r="A64" t="s">
        <v>116</v>
      </c>
      <c r="B64" s="1">
        <v>45746</v>
      </c>
      <c r="C64" t="s">
        <v>42</v>
      </c>
      <c r="D64" t="s">
        <v>20</v>
      </c>
      <c r="E64">
        <v>500</v>
      </c>
      <c r="F64">
        <v>5</v>
      </c>
      <c r="G64">
        <v>2500</v>
      </c>
      <c r="H64" t="s">
        <v>14</v>
      </c>
      <c r="I64" t="s">
        <v>44</v>
      </c>
      <c r="J64" t="s">
        <v>58</v>
      </c>
      <c r="K64" t="s">
        <v>40</v>
      </c>
      <c r="L64" s="1" t="str">
        <f t="shared" si="0"/>
        <v>March</v>
      </c>
      <c r="M64" s="3">
        <f t="shared" si="1"/>
        <v>3</v>
      </c>
      <c r="N64" t="str">
        <f t="shared" si="2"/>
        <v>Q1</v>
      </c>
      <c r="O64" t="str">
        <f t="shared" si="3"/>
        <v>Mid (2K-5K)</v>
      </c>
      <c r="P64" t="str">
        <f t="shared" si="4"/>
        <v>Bulk (5+)</v>
      </c>
      <c r="Q64">
        <f t="shared" si="5"/>
        <v>1</v>
      </c>
      <c r="R64">
        <f t="shared" si="6"/>
        <v>0</v>
      </c>
      <c r="S64">
        <f t="shared" si="7"/>
        <v>0</v>
      </c>
    </row>
    <row r="65" spans="1:19" x14ac:dyDescent="0.3">
      <c r="A65" t="s">
        <v>117</v>
      </c>
      <c r="B65" s="1">
        <v>45701</v>
      </c>
      <c r="C65" t="s">
        <v>65</v>
      </c>
      <c r="D65" t="s">
        <v>61</v>
      </c>
      <c r="E65">
        <v>1200</v>
      </c>
      <c r="F65">
        <v>4</v>
      </c>
      <c r="G65">
        <v>4800</v>
      </c>
      <c r="H65" t="s">
        <v>21</v>
      </c>
      <c r="I65" t="s">
        <v>26</v>
      </c>
      <c r="J65" t="s">
        <v>39</v>
      </c>
      <c r="K65" t="s">
        <v>23</v>
      </c>
      <c r="L65" s="1" t="str">
        <f t="shared" si="0"/>
        <v>February</v>
      </c>
      <c r="M65" s="3">
        <f t="shared" si="1"/>
        <v>2</v>
      </c>
      <c r="N65" t="str">
        <f t="shared" si="2"/>
        <v>Q1</v>
      </c>
      <c r="O65" t="str">
        <f t="shared" si="3"/>
        <v>Mid (2K-5K)</v>
      </c>
      <c r="P65" t="str">
        <f t="shared" si="4"/>
        <v>Medium (3-4)</v>
      </c>
      <c r="Q65">
        <f t="shared" si="5"/>
        <v>0</v>
      </c>
      <c r="R65">
        <f t="shared" si="6"/>
        <v>0</v>
      </c>
      <c r="S65">
        <f t="shared" si="7"/>
        <v>0</v>
      </c>
    </row>
    <row r="66" spans="1:19" x14ac:dyDescent="0.3">
      <c r="A66" t="s">
        <v>118</v>
      </c>
      <c r="B66" s="1">
        <v>45732</v>
      </c>
      <c r="C66" t="s">
        <v>49</v>
      </c>
      <c r="D66" t="s">
        <v>50</v>
      </c>
      <c r="E66">
        <v>15</v>
      </c>
      <c r="F66">
        <v>3</v>
      </c>
      <c r="G66">
        <v>45</v>
      </c>
      <c r="H66" t="s">
        <v>14</v>
      </c>
      <c r="I66" t="s">
        <v>22</v>
      </c>
      <c r="J66" t="s">
        <v>27</v>
      </c>
      <c r="K66" t="s">
        <v>23</v>
      </c>
      <c r="L66" s="1" t="str">
        <f t="shared" ref="L66:L129" si="8">TEXT(B66,"MMMM")</f>
        <v>March</v>
      </c>
      <c r="M66" s="3">
        <f t="shared" si="1"/>
        <v>3</v>
      </c>
      <c r="N66" t="str">
        <f t="shared" si="2"/>
        <v>Q1</v>
      </c>
      <c r="O66" t="str">
        <f t="shared" si="3"/>
        <v>Low (&lt;2K)</v>
      </c>
      <c r="P66" t="str">
        <f t="shared" si="4"/>
        <v>Medium (3-4)</v>
      </c>
      <c r="Q66">
        <f t="shared" si="5"/>
        <v>0</v>
      </c>
      <c r="R66">
        <f t="shared" si="6"/>
        <v>0</v>
      </c>
      <c r="S66">
        <f t="shared" si="7"/>
        <v>0</v>
      </c>
    </row>
    <row r="67" spans="1:19" x14ac:dyDescent="0.3">
      <c r="A67" t="s">
        <v>119</v>
      </c>
      <c r="B67" s="1">
        <v>45730</v>
      </c>
      <c r="C67" t="s">
        <v>33</v>
      </c>
      <c r="D67" t="s">
        <v>20</v>
      </c>
      <c r="E67">
        <v>150</v>
      </c>
      <c r="F67">
        <v>2</v>
      </c>
      <c r="G67">
        <v>300</v>
      </c>
      <c r="H67" t="s">
        <v>54</v>
      </c>
      <c r="I67" t="s">
        <v>26</v>
      </c>
      <c r="J67" t="s">
        <v>39</v>
      </c>
      <c r="K67" t="s">
        <v>23</v>
      </c>
      <c r="L67" s="1" t="str">
        <f t="shared" si="8"/>
        <v>March</v>
      </c>
      <c r="M67" s="3">
        <f t="shared" ref="M67:M130" si="9">MONTH(B67)</f>
        <v>3</v>
      </c>
      <c r="N67" t="str">
        <f t="shared" ref="N67:N130" si="10">IF(MONTH(B67)&lt;=3,"Q1",IF(MONTH(B67)&lt;=6,"Q2",IF(MONTH(B67)&lt;=9,"Q3","Q4")))</f>
        <v>Q1</v>
      </c>
      <c r="O67" t="str">
        <f t="shared" ref="O67:O130" si="11">IF(G67&gt;=5000,"High (≥5K)",IF(G67&gt;=2000,"Mid (2K-5K)","Low (&lt;2K)"))</f>
        <v>Low (&lt;2K)</v>
      </c>
      <c r="P67" t="str">
        <f t="shared" ref="P67:P130" si="12">IF(F67&gt;=5,"Bulk (5+)",IF(F67&gt;=3,"Medium (3-4)","Small (1-2)"))</f>
        <v>Small (1-2)</v>
      </c>
      <c r="Q67">
        <f t="shared" ref="Q67:Q130" si="13">IF(K67="Completed",1,0)</f>
        <v>0</v>
      </c>
      <c r="R67">
        <f t="shared" ref="R67:R130" si="14">IF(K67="Cancelled",1,0)</f>
        <v>0</v>
      </c>
      <c r="S67">
        <f t="shared" ref="S67:S130" si="15">IF(K67="Cancelled",G67,0)</f>
        <v>0</v>
      </c>
    </row>
    <row r="68" spans="1:19" x14ac:dyDescent="0.3">
      <c r="A68" t="s">
        <v>120</v>
      </c>
      <c r="B68" s="1">
        <v>45747</v>
      </c>
      <c r="C68" t="s">
        <v>19</v>
      </c>
      <c r="D68" t="s">
        <v>20</v>
      </c>
      <c r="E68">
        <v>100</v>
      </c>
      <c r="F68">
        <v>3</v>
      </c>
      <c r="G68">
        <v>300</v>
      </c>
      <c r="H68" t="s">
        <v>72</v>
      </c>
      <c r="I68" t="s">
        <v>15</v>
      </c>
      <c r="J68" t="s">
        <v>16</v>
      </c>
      <c r="K68" t="s">
        <v>23</v>
      </c>
      <c r="L68" s="1" t="str">
        <f t="shared" si="8"/>
        <v>March</v>
      </c>
      <c r="M68" s="3">
        <f t="shared" si="9"/>
        <v>3</v>
      </c>
      <c r="N68" t="str">
        <f t="shared" si="10"/>
        <v>Q1</v>
      </c>
      <c r="O68" t="str">
        <f t="shared" si="11"/>
        <v>Low (&lt;2K)</v>
      </c>
      <c r="P68" t="str">
        <f t="shared" si="12"/>
        <v>Medium (3-4)</v>
      </c>
      <c r="Q68">
        <f t="shared" si="13"/>
        <v>0</v>
      </c>
      <c r="R68">
        <f t="shared" si="14"/>
        <v>0</v>
      </c>
      <c r="S68">
        <f t="shared" si="15"/>
        <v>0</v>
      </c>
    </row>
    <row r="69" spans="1:19" x14ac:dyDescent="0.3">
      <c r="A69" t="s">
        <v>121</v>
      </c>
      <c r="B69" s="1">
        <v>45711</v>
      </c>
      <c r="C69" t="s">
        <v>19</v>
      </c>
      <c r="D69" t="s">
        <v>20</v>
      </c>
      <c r="E69">
        <v>100</v>
      </c>
      <c r="F69">
        <v>1</v>
      </c>
      <c r="G69">
        <v>100</v>
      </c>
      <c r="H69" t="s">
        <v>51</v>
      </c>
      <c r="I69" t="s">
        <v>38</v>
      </c>
      <c r="J69" t="s">
        <v>16</v>
      </c>
      <c r="K69" t="s">
        <v>17</v>
      </c>
      <c r="L69" s="1" t="str">
        <f t="shared" si="8"/>
        <v>February</v>
      </c>
      <c r="M69" s="3">
        <f t="shared" si="9"/>
        <v>2</v>
      </c>
      <c r="N69" t="str">
        <f t="shared" si="10"/>
        <v>Q1</v>
      </c>
      <c r="O69" t="str">
        <f t="shared" si="11"/>
        <v>Low (&lt;2K)</v>
      </c>
      <c r="P69" t="str">
        <f t="shared" si="12"/>
        <v>Small (1-2)</v>
      </c>
      <c r="Q69">
        <f t="shared" si="13"/>
        <v>0</v>
      </c>
      <c r="R69">
        <f t="shared" si="14"/>
        <v>1</v>
      </c>
      <c r="S69">
        <f t="shared" si="15"/>
        <v>100</v>
      </c>
    </row>
    <row r="70" spans="1:19" x14ac:dyDescent="0.3">
      <c r="A70" t="s">
        <v>122</v>
      </c>
      <c r="B70" s="1">
        <v>45713</v>
      </c>
      <c r="C70" t="s">
        <v>65</v>
      </c>
      <c r="D70" t="s">
        <v>61</v>
      </c>
      <c r="E70">
        <v>1200</v>
      </c>
      <c r="F70">
        <v>4</v>
      </c>
      <c r="G70">
        <v>4800</v>
      </c>
      <c r="H70" t="s">
        <v>51</v>
      </c>
      <c r="I70" t="s">
        <v>46</v>
      </c>
      <c r="J70" t="s">
        <v>58</v>
      </c>
      <c r="K70" t="s">
        <v>23</v>
      </c>
      <c r="L70" s="1" t="str">
        <f t="shared" si="8"/>
        <v>February</v>
      </c>
      <c r="M70" s="3">
        <f t="shared" si="9"/>
        <v>2</v>
      </c>
      <c r="N70" t="str">
        <f t="shared" si="10"/>
        <v>Q1</v>
      </c>
      <c r="O70" t="str">
        <f t="shared" si="11"/>
        <v>Mid (2K-5K)</v>
      </c>
      <c r="P70" t="str">
        <f t="shared" si="12"/>
        <v>Medium (3-4)</v>
      </c>
      <c r="Q70">
        <f t="shared" si="13"/>
        <v>0</v>
      </c>
      <c r="R70">
        <f t="shared" si="14"/>
        <v>0</v>
      </c>
      <c r="S70">
        <f t="shared" si="15"/>
        <v>0</v>
      </c>
    </row>
    <row r="71" spans="1:19" x14ac:dyDescent="0.3">
      <c r="A71" t="s">
        <v>123</v>
      </c>
      <c r="B71" s="1">
        <v>45726</v>
      </c>
      <c r="C71" t="s">
        <v>49</v>
      </c>
      <c r="D71" t="s">
        <v>50</v>
      </c>
      <c r="E71">
        <v>15</v>
      </c>
      <c r="F71">
        <v>1</v>
      </c>
      <c r="G71">
        <v>15</v>
      </c>
      <c r="H71" t="s">
        <v>21</v>
      </c>
      <c r="I71" t="s">
        <v>46</v>
      </c>
      <c r="J71" t="s">
        <v>31</v>
      </c>
      <c r="K71" t="s">
        <v>40</v>
      </c>
      <c r="L71" s="1" t="str">
        <f t="shared" si="8"/>
        <v>March</v>
      </c>
      <c r="M71" s="3">
        <f t="shared" si="9"/>
        <v>3</v>
      </c>
      <c r="N71" t="str">
        <f t="shared" si="10"/>
        <v>Q1</v>
      </c>
      <c r="O71" t="str">
        <f t="shared" si="11"/>
        <v>Low (&lt;2K)</v>
      </c>
      <c r="P71" t="str">
        <f t="shared" si="12"/>
        <v>Small (1-2)</v>
      </c>
      <c r="Q71">
        <f t="shared" si="13"/>
        <v>1</v>
      </c>
      <c r="R71">
        <f t="shared" si="14"/>
        <v>0</v>
      </c>
      <c r="S71">
        <f t="shared" si="15"/>
        <v>0</v>
      </c>
    </row>
    <row r="72" spans="1:19" x14ac:dyDescent="0.3">
      <c r="A72" t="s">
        <v>124</v>
      </c>
      <c r="B72" s="1">
        <v>45732</v>
      </c>
      <c r="C72" t="s">
        <v>33</v>
      </c>
      <c r="D72" t="s">
        <v>20</v>
      </c>
      <c r="E72">
        <v>150</v>
      </c>
      <c r="F72">
        <v>5</v>
      </c>
      <c r="G72">
        <v>750</v>
      </c>
      <c r="H72" t="s">
        <v>25</v>
      </c>
      <c r="I72" t="s">
        <v>26</v>
      </c>
      <c r="J72" t="s">
        <v>31</v>
      </c>
      <c r="K72" t="s">
        <v>23</v>
      </c>
      <c r="L72" s="1" t="str">
        <f t="shared" si="8"/>
        <v>March</v>
      </c>
      <c r="M72" s="3">
        <f t="shared" si="9"/>
        <v>3</v>
      </c>
      <c r="N72" t="str">
        <f t="shared" si="10"/>
        <v>Q1</v>
      </c>
      <c r="O72" t="str">
        <f t="shared" si="11"/>
        <v>Low (&lt;2K)</v>
      </c>
      <c r="P72" t="str">
        <f t="shared" si="12"/>
        <v>Bulk (5+)</v>
      </c>
      <c r="Q72">
        <f t="shared" si="13"/>
        <v>0</v>
      </c>
      <c r="R72">
        <f t="shared" si="14"/>
        <v>0</v>
      </c>
      <c r="S72">
        <f t="shared" si="15"/>
        <v>0</v>
      </c>
    </row>
    <row r="73" spans="1:19" x14ac:dyDescent="0.3">
      <c r="A73" t="s">
        <v>125</v>
      </c>
      <c r="B73" s="1">
        <v>45723</v>
      </c>
      <c r="C73" t="s">
        <v>56</v>
      </c>
      <c r="D73" t="s">
        <v>20</v>
      </c>
      <c r="E73">
        <v>800</v>
      </c>
      <c r="F73">
        <v>3</v>
      </c>
      <c r="G73">
        <v>2400</v>
      </c>
      <c r="H73" t="s">
        <v>57</v>
      </c>
      <c r="I73" t="s">
        <v>38</v>
      </c>
      <c r="J73" t="s">
        <v>31</v>
      </c>
      <c r="K73" t="s">
        <v>23</v>
      </c>
      <c r="L73" s="1" t="str">
        <f t="shared" si="8"/>
        <v>March</v>
      </c>
      <c r="M73" s="3">
        <f t="shared" si="9"/>
        <v>3</v>
      </c>
      <c r="N73" t="str">
        <f t="shared" si="10"/>
        <v>Q1</v>
      </c>
      <c r="O73" t="str">
        <f t="shared" si="11"/>
        <v>Mid (2K-5K)</v>
      </c>
      <c r="P73" t="str">
        <f t="shared" si="12"/>
        <v>Medium (3-4)</v>
      </c>
      <c r="Q73">
        <f t="shared" si="13"/>
        <v>0</v>
      </c>
      <c r="R73">
        <f t="shared" si="14"/>
        <v>0</v>
      </c>
      <c r="S73">
        <f t="shared" si="15"/>
        <v>0</v>
      </c>
    </row>
    <row r="74" spans="1:19" x14ac:dyDescent="0.3">
      <c r="A74" t="s">
        <v>126</v>
      </c>
      <c r="B74" s="1">
        <v>45708</v>
      </c>
      <c r="C74" t="s">
        <v>42</v>
      </c>
      <c r="D74" t="s">
        <v>20</v>
      </c>
      <c r="E74">
        <v>500</v>
      </c>
      <c r="F74">
        <v>5</v>
      </c>
      <c r="G74">
        <v>2500</v>
      </c>
      <c r="H74" t="s">
        <v>21</v>
      </c>
      <c r="I74" t="s">
        <v>44</v>
      </c>
      <c r="J74" t="s">
        <v>31</v>
      </c>
      <c r="K74" t="s">
        <v>17</v>
      </c>
      <c r="L74" s="1" t="str">
        <f t="shared" si="8"/>
        <v>February</v>
      </c>
      <c r="M74" s="3">
        <f t="shared" si="9"/>
        <v>2</v>
      </c>
      <c r="N74" t="str">
        <f t="shared" si="10"/>
        <v>Q1</v>
      </c>
      <c r="O74" t="str">
        <f t="shared" si="11"/>
        <v>Mid (2K-5K)</v>
      </c>
      <c r="P74" t="str">
        <f t="shared" si="12"/>
        <v>Bulk (5+)</v>
      </c>
      <c r="Q74">
        <f t="shared" si="13"/>
        <v>0</v>
      </c>
      <c r="R74">
        <f t="shared" si="14"/>
        <v>1</v>
      </c>
      <c r="S74">
        <f t="shared" si="15"/>
        <v>2500</v>
      </c>
    </row>
    <row r="75" spans="1:19" x14ac:dyDescent="0.3">
      <c r="A75" t="s">
        <v>127</v>
      </c>
      <c r="B75" s="1">
        <v>45741</v>
      </c>
      <c r="C75" t="s">
        <v>65</v>
      </c>
      <c r="D75" t="s">
        <v>61</v>
      </c>
      <c r="E75">
        <v>1200</v>
      </c>
      <c r="F75">
        <v>4</v>
      </c>
      <c r="G75">
        <v>4800</v>
      </c>
      <c r="H75" t="s">
        <v>80</v>
      </c>
      <c r="I75" t="s">
        <v>30</v>
      </c>
      <c r="J75" t="s">
        <v>58</v>
      </c>
      <c r="K75" t="s">
        <v>17</v>
      </c>
      <c r="L75" s="1" t="str">
        <f t="shared" si="8"/>
        <v>March</v>
      </c>
      <c r="M75" s="3">
        <f t="shared" si="9"/>
        <v>3</v>
      </c>
      <c r="N75" t="str">
        <f t="shared" si="10"/>
        <v>Q1</v>
      </c>
      <c r="O75" t="str">
        <f t="shared" si="11"/>
        <v>Mid (2K-5K)</v>
      </c>
      <c r="P75" t="str">
        <f t="shared" si="12"/>
        <v>Medium (3-4)</v>
      </c>
      <c r="Q75">
        <f t="shared" si="13"/>
        <v>0</v>
      </c>
      <c r="R75">
        <f t="shared" si="14"/>
        <v>1</v>
      </c>
      <c r="S75">
        <f t="shared" si="15"/>
        <v>4800</v>
      </c>
    </row>
    <row r="76" spans="1:19" x14ac:dyDescent="0.3">
      <c r="A76" t="s">
        <v>128</v>
      </c>
      <c r="B76" s="1">
        <v>45714</v>
      </c>
      <c r="C76" t="s">
        <v>19</v>
      </c>
      <c r="D76" t="s">
        <v>20</v>
      </c>
      <c r="E76">
        <v>100</v>
      </c>
      <c r="F76">
        <v>2</v>
      </c>
      <c r="G76">
        <v>200</v>
      </c>
      <c r="H76" t="s">
        <v>57</v>
      </c>
      <c r="I76" t="s">
        <v>46</v>
      </c>
      <c r="J76" t="s">
        <v>39</v>
      </c>
      <c r="K76" t="s">
        <v>23</v>
      </c>
      <c r="L76" s="1" t="str">
        <f t="shared" si="8"/>
        <v>February</v>
      </c>
      <c r="M76" s="3">
        <f t="shared" si="9"/>
        <v>2</v>
      </c>
      <c r="N76" t="str">
        <f t="shared" si="10"/>
        <v>Q1</v>
      </c>
      <c r="O76" t="str">
        <f t="shared" si="11"/>
        <v>Low (&lt;2K)</v>
      </c>
      <c r="P76" t="str">
        <f t="shared" si="12"/>
        <v>Small (1-2)</v>
      </c>
      <c r="Q76">
        <f t="shared" si="13"/>
        <v>0</v>
      </c>
      <c r="R76">
        <f t="shared" si="14"/>
        <v>0</v>
      </c>
      <c r="S76">
        <f t="shared" si="15"/>
        <v>0</v>
      </c>
    </row>
    <row r="77" spans="1:19" x14ac:dyDescent="0.3">
      <c r="A77" t="s">
        <v>129</v>
      </c>
      <c r="B77" s="1">
        <v>45712</v>
      </c>
      <c r="C77" t="s">
        <v>60</v>
      </c>
      <c r="D77" t="s">
        <v>61</v>
      </c>
      <c r="E77">
        <v>600</v>
      </c>
      <c r="F77">
        <v>1</v>
      </c>
      <c r="G77">
        <v>600</v>
      </c>
      <c r="H77" t="s">
        <v>80</v>
      </c>
      <c r="I77" t="s">
        <v>30</v>
      </c>
      <c r="J77" t="s">
        <v>27</v>
      </c>
      <c r="K77" t="s">
        <v>40</v>
      </c>
      <c r="L77" s="1" t="str">
        <f t="shared" si="8"/>
        <v>February</v>
      </c>
      <c r="M77" s="3">
        <f t="shared" si="9"/>
        <v>2</v>
      </c>
      <c r="N77" t="str">
        <f t="shared" si="10"/>
        <v>Q1</v>
      </c>
      <c r="O77" t="str">
        <f t="shared" si="11"/>
        <v>Low (&lt;2K)</v>
      </c>
      <c r="P77" t="str">
        <f t="shared" si="12"/>
        <v>Small (1-2)</v>
      </c>
      <c r="Q77">
        <f t="shared" si="13"/>
        <v>1</v>
      </c>
      <c r="R77">
        <f t="shared" si="14"/>
        <v>0</v>
      </c>
      <c r="S77">
        <f t="shared" si="15"/>
        <v>0</v>
      </c>
    </row>
    <row r="78" spans="1:19" x14ac:dyDescent="0.3">
      <c r="A78" t="s">
        <v>130</v>
      </c>
      <c r="B78" s="1">
        <v>45736</v>
      </c>
      <c r="C78" t="s">
        <v>19</v>
      </c>
      <c r="D78" t="s">
        <v>20</v>
      </c>
      <c r="E78">
        <v>100</v>
      </c>
      <c r="F78">
        <v>2</v>
      </c>
      <c r="G78">
        <v>200</v>
      </c>
      <c r="H78" t="s">
        <v>57</v>
      </c>
      <c r="I78" t="s">
        <v>38</v>
      </c>
      <c r="J78" t="s">
        <v>31</v>
      </c>
      <c r="K78" t="s">
        <v>40</v>
      </c>
      <c r="L78" s="1" t="str">
        <f t="shared" si="8"/>
        <v>March</v>
      </c>
      <c r="M78" s="3">
        <f t="shared" si="9"/>
        <v>3</v>
      </c>
      <c r="N78" t="str">
        <f t="shared" si="10"/>
        <v>Q1</v>
      </c>
      <c r="O78" t="str">
        <f t="shared" si="11"/>
        <v>Low (&lt;2K)</v>
      </c>
      <c r="P78" t="str">
        <f t="shared" si="12"/>
        <v>Small (1-2)</v>
      </c>
      <c r="Q78">
        <f t="shared" si="13"/>
        <v>1</v>
      </c>
      <c r="R78">
        <f t="shared" si="14"/>
        <v>0</v>
      </c>
      <c r="S78">
        <f t="shared" si="15"/>
        <v>0</v>
      </c>
    </row>
    <row r="79" spans="1:19" x14ac:dyDescent="0.3">
      <c r="A79" t="s">
        <v>131</v>
      </c>
      <c r="B79" s="1">
        <v>45734</v>
      </c>
      <c r="C79" t="s">
        <v>33</v>
      </c>
      <c r="D79" t="s">
        <v>20</v>
      </c>
      <c r="E79">
        <v>150</v>
      </c>
      <c r="F79">
        <v>2</v>
      </c>
      <c r="G79">
        <v>300</v>
      </c>
      <c r="H79" t="s">
        <v>14</v>
      </c>
      <c r="I79" t="s">
        <v>68</v>
      </c>
      <c r="J79" t="s">
        <v>58</v>
      </c>
      <c r="K79" t="s">
        <v>17</v>
      </c>
      <c r="L79" s="1" t="str">
        <f t="shared" si="8"/>
        <v>March</v>
      </c>
      <c r="M79" s="3">
        <f t="shared" si="9"/>
        <v>3</v>
      </c>
      <c r="N79" t="str">
        <f t="shared" si="10"/>
        <v>Q1</v>
      </c>
      <c r="O79" t="str">
        <f t="shared" si="11"/>
        <v>Low (&lt;2K)</v>
      </c>
      <c r="P79" t="str">
        <f t="shared" si="12"/>
        <v>Small (1-2)</v>
      </c>
      <c r="Q79">
        <f t="shared" si="13"/>
        <v>0</v>
      </c>
      <c r="R79">
        <f t="shared" si="14"/>
        <v>1</v>
      </c>
      <c r="S79">
        <f t="shared" si="15"/>
        <v>300</v>
      </c>
    </row>
    <row r="80" spans="1:19" x14ac:dyDescent="0.3">
      <c r="A80" t="s">
        <v>132</v>
      </c>
      <c r="B80" s="1">
        <v>45725</v>
      </c>
      <c r="C80" t="s">
        <v>12</v>
      </c>
      <c r="D80" t="s">
        <v>13</v>
      </c>
      <c r="E80">
        <v>60</v>
      </c>
      <c r="F80">
        <v>2</v>
      </c>
      <c r="G80">
        <v>120</v>
      </c>
      <c r="H80" t="s">
        <v>21</v>
      </c>
      <c r="I80" t="s">
        <v>26</v>
      </c>
      <c r="J80" t="s">
        <v>58</v>
      </c>
      <c r="K80" t="s">
        <v>17</v>
      </c>
      <c r="L80" s="1" t="str">
        <f t="shared" si="8"/>
        <v>March</v>
      </c>
      <c r="M80" s="3">
        <f t="shared" si="9"/>
        <v>3</v>
      </c>
      <c r="N80" t="str">
        <f t="shared" si="10"/>
        <v>Q1</v>
      </c>
      <c r="O80" t="str">
        <f t="shared" si="11"/>
        <v>Low (&lt;2K)</v>
      </c>
      <c r="P80" t="str">
        <f t="shared" si="12"/>
        <v>Small (1-2)</v>
      </c>
      <c r="Q80">
        <f t="shared" si="13"/>
        <v>0</v>
      </c>
      <c r="R80">
        <f t="shared" si="14"/>
        <v>1</v>
      </c>
      <c r="S80">
        <f t="shared" si="15"/>
        <v>120</v>
      </c>
    </row>
    <row r="81" spans="1:19" x14ac:dyDescent="0.3">
      <c r="A81" t="s">
        <v>133</v>
      </c>
      <c r="B81" s="1">
        <v>45711</v>
      </c>
      <c r="C81" t="s">
        <v>12</v>
      </c>
      <c r="D81" t="s">
        <v>13</v>
      </c>
      <c r="E81">
        <v>60</v>
      </c>
      <c r="F81">
        <v>4</v>
      </c>
      <c r="G81">
        <v>240</v>
      </c>
      <c r="H81" t="s">
        <v>43</v>
      </c>
      <c r="I81" t="s">
        <v>22</v>
      </c>
      <c r="J81" t="s">
        <v>16</v>
      </c>
      <c r="K81" t="s">
        <v>23</v>
      </c>
      <c r="L81" s="1" t="str">
        <f t="shared" si="8"/>
        <v>February</v>
      </c>
      <c r="M81" s="3">
        <f t="shared" si="9"/>
        <v>2</v>
      </c>
      <c r="N81" t="str">
        <f t="shared" si="10"/>
        <v>Q1</v>
      </c>
      <c r="O81" t="str">
        <f t="shared" si="11"/>
        <v>Low (&lt;2K)</v>
      </c>
      <c r="P81" t="str">
        <f t="shared" si="12"/>
        <v>Medium (3-4)</v>
      </c>
      <c r="Q81">
        <f t="shared" si="13"/>
        <v>0</v>
      </c>
      <c r="R81">
        <f t="shared" si="14"/>
        <v>0</v>
      </c>
      <c r="S81">
        <f t="shared" si="15"/>
        <v>0</v>
      </c>
    </row>
    <row r="82" spans="1:19" x14ac:dyDescent="0.3">
      <c r="A82" t="s">
        <v>134</v>
      </c>
      <c r="B82" s="1">
        <v>45714</v>
      </c>
      <c r="C82" t="s">
        <v>19</v>
      </c>
      <c r="D82" t="s">
        <v>20</v>
      </c>
      <c r="E82">
        <v>100</v>
      </c>
      <c r="F82">
        <v>3</v>
      </c>
      <c r="G82">
        <v>300</v>
      </c>
      <c r="H82" t="s">
        <v>54</v>
      </c>
      <c r="I82" t="s">
        <v>81</v>
      </c>
      <c r="J82" t="s">
        <v>39</v>
      </c>
      <c r="K82" t="s">
        <v>17</v>
      </c>
      <c r="L82" s="1" t="str">
        <f t="shared" si="8"/>
        <v>February</v>
      </c>
      <c r="M82" s="3">
        <f t="shared" si="9"/>
        <v>2</v>
      </c>
      <c r="N82" t="str">
        <f t="shared" si="10"/>
        <v>Q1</v>
      </c>
      <c r="O82" t="str">
        <f t="shared" si="11"/>
        <v>Low (&lt;2K)</v>
      </c>
      <c r="P82" t="str">
        <f t="shared" si="12"/>
        <v>Medium (3-4)</v>
      </c>
      <c r="Q82">
        <f t="shared" si="13"/>
        <v>0</v>
      </c>
      <c r="R82">
        <f t="shared" si="14"/>
        <v>1</v>
      </c>
      <c r="S82">
        <f t="shared" si="15"/>
        <v>300</v>
      </c>
    </row>
    <row r="83" spans="1:19" x14ac:dyDescent="0.3">
      <c r="A83" t="s">
        <v>135</v>
      </c>
      <c r="B83" s="1">
        <v>45712</v>
      </c>
      <c r="C83" t="s">
        <v>42</v>
      </c>
      <c r="D83" t="s">
        <v>20</v>
      </c>
      <c r="E83">
        <v>500</v>
      </c>
      <c r="F83">
        <v>3</v>
      </c>
      <c r="G83">
        <v>1500</v>
      </c>
      <c r="H83" t="s">
        <v>80</v>
      </c>
      <c r="I83" t="s">
        <v>63</v>
      </c>
      <c r="J83" t="s">
        <v>16</v>
      </c>
      <c r="K83" t="s">
        <v>17</v>
      </c>
      <c r="L83" s="1" t="str">
        <f t="shared" si="8"/>
        <v>February</v>
      </c>
      <c r="M83" s="3">
        <f t="shared" si="9"/>
        <v>2</v>
      </c>
      <c r="N83" t="str">
        <f t="shared" si="10"/>
        <v>Q1</v>
      </c>
      <c r="O83" t="str">
        <f t="shared" si="11"/>
        <v>Low (&lt;2K)</v>
      </c>
      <c r="P83" t="str">
        <f t="shared" si="12"/>
        <v>Medium (3-4)</v>
      </c>
      <c r="Q83">
        <f t="shared" si="13"/>
        <v>0</v>
      </c>
      <c r="R83">
        <f t="shared" si="14"/>
        <v>1</v>
      </c>
      <c r="S83">
        <f t="shared" si="15"/>
        <v>1500</v>
      </c>
    </row>
    <row r="84" spans="1:19" x14ac:dyDescent="0.3">
      <c r="A84" t="s">
        <v>136</v>
      </c>
      <c r="B84" s="1">
        <v>45716</v>
      </c>
      <c r="C84" t="s">
        <v>60</v>
      </c>
      <c r="D84" t="s">
        <v>61</v>
      </c>
      <c r="E84">
        <v>600</v>
      </c>
      <c r="F84">
        <v>4</v>
      </c>
      <c r="G84">
        <v>2400</v>
      </c>
      <c r="H84" t="s">
        <v>14</v>
      </c>
      <c r="I84" t="s">
        <v>38</v>
      </c>
      <c r="J84" t="s">
        <v>58</v>
      </c>
      <c r="K84" t="s">
        <v>17</v>
      </c>
      <c r="L84" s="1" t="str">
        <f t="shared" si="8"/>
        <v>February</v>
      </c>
      <c r="M84" s="3">
        <f t="shared" si="9"/>
        <v>2</v>
      </c>
      <c r="N84" t="str">
        <f t="shared" si="10"/>
        <v>Q1</v>
      </c>
      <c r="O84" t="str">
        <f t="shared" si="11"/>
        <v>Mid (2K-5K)</v>
      </c>
      <c r="P84" t="str">
        <f t="shared" si="12"/>
        <v>Medium (3-4)</v>
      </c>
      <c r="Q84">
        <f t="shared" si="13"/>
        <v>0</v>
      </c>
      <c r="R84">
        <f t="shared" si="14"/>
        <v>1</v>
      </c>
      <c r="S84">
        <f t="shared" si="15"/>
        <v>2400</v>
      </c>
    </row>
    <row r="85" spans="1:19" x14ac:dyDescent="0.3">
      <c r="A85" t="s">
        <v>137</v>
      </c>
      <c r="B85" s="1">
        <v>45702</v>
      </c>
      <c r="C85" t="s">
        <v>35</v>
      </c>
      <c r="D85" t="s">
        <v>36</v>
      </c>
      <c r="E85">
        <v>20</v>
      </c>
      <c r="F85">
        <v>5</v>
      </c>
      <c r="G85">
        <v>100</v>
      </c>
      <c r="H85" t="s">
        <v>29</v>
      </c>
      <c r="I85" t="s">
        <v>46</v>
      </c>
      <c r="J85" t="s">
        <v>39</v>
      </c>
      <c r="K85" t="s">
        <v>40</v>
      </c>
      <c r="L85" s="1" t="str">
        <f t="shared" si="8"/>
        <v>February</v>
      </c>
      <c r="M85" s="3">
        <f t="shared" si="9"/>
        <v>2</v>
      </c>
      <c r="N85" t="str">
        <f t="shared" si="10"/>
        <v>Q1</v>
      </c>
      <c r="O85" t="str">
        <f t="shared" si="11"/>
        <v>Low (&lt;2K)</v>
      </c>
      <c r="P85" t="str">
        <f t="shared" si="12"/>
        <v>Bulk (5+)</v>
      </c>
      <c r="Q85">
        <f t="shared" si="13"/>
        <v>1</v>
      </c>
      <c r="R85">
        <f t="shared" si="14"/>
        <v>0</v>
      </c>
      <c r="S85">
        <f t="shared" si="15"/>
        <v>0</v>
      </c>
    </row>
    <row r="86" spans="1:19" x14ac:dyDescent="0.3">
      <c r="A86" t="s">
        <v>138</v>
      </c>
      <c r="B86" s="1">
        <v>45694</v>
      </c>
      <c r="C86" t="s">
        <v>42</v>
      </c>
      <c r="D86" t="s">
        <v>20</v>
      </c>
      <c r="E86">
        <v>500</v>
      </c>
      <c r="F86">
        <v>5</v>
      </c>
      <c r="G86">
        <v>2500</v>
      </c>
      <c r="H86" t="s">
        <v>54</v>
      </c>
      <c r="I86" t="s">
        <v>38</v>
      </c>
      <c r="J86" t="s">
        <v>39</v>
      </c>
      <c r="K86" t="s">
        <v>40</v>
      </c>
      <c r="L86" s="1" t="str">
        <f t="shared" si="8"/>
        <v>February</v>
      </c>
      <c r="M86" s="3">
        <f t="shared" si="9"/>
        <v>2</v>
      </c>
      <c r="N86" t="str">
        <f t="shared" si="10"/>
        <v>Q1</v>
      </c>
      <c r="O86" t="str">
        <f t="shared" si="11"/>
        <v>Mid (2K-5K)</v>
      </c>
      <c r="P86" t="str">
        <f t="shared" si="12"/>
        <v>Bulk (5+)</v>
      </c>
      <c r="Q86">
        <f t="shared" si="13"/>
        <v>1</v>
      </c>
      <c r="R86">
        <f t="shared" si="14"/>
        <v>0</v>
      </c>
      <c r="S86">
        <f t="shared" si="15"/>
        <v>0</v>
      </c>
    </row>
    <row r="87" spans="1:19" x14ac:dyDescent="0.3">
      <c r="A87" t="s">
        <v>139</v>
      </c>
      <c r="B87" s="1">
        <v>45713</v>
      </c>
      <c r="C87" t="s">
        <v>33</v>
      </c>
      <c r="D87" t="s">
        <v>20</v>
      </c>
      <c r="E87">
        <v>150</v>
      </c>
      <c r="F87">
        <v>5</v>
      </c>
      <c r="G87">
        <v>750</v>
      </c>
      <c r="H87" t="s">
        <v>80</v>
      </c>
      <c r="I87" t="s">
        <v>30</v>
      </c>
      <c r="J87" t="s">
        <v>39</v>
      </c>
      <c r="K87" t="s">
        <v>17</v>
      </c>
      <c r="L87" s="1" t="str">
        <f t="shared" si="8"/>
        <v>February</v>
      </c>
      <c r="M87" s="3">
        <f t="shared" si="9"/>
        <v>2</v>
      </c>
      <c r="N87" t="str">
        <f t="shared" si="10"/>
        <v>Q1</v>
      </c>
      <c r="O87" t="str">
        <f t="shared" si="11"/>
        <v>Low (&lt;2K)</v>
      </c>
      <c r="P87" t="str">
        <f t="shared" si="12"/>
        <v>Bulk (5+)</v>
      </c>
      <c r="Q87">
        <f t="shared" si="13"/>
        <v>0</v>
      </c>
      <c r="R87">
        <f t="shared" si="14"/>
        <v>1</v>
      </c>
      <c r="S87">
        <f t="shared" si="15"/>
        <v>750</v>
      </c>
    </row>
    <row r="88" spans="1:19" x14ac:dyDescent="0.3">
      <c r="A88" t="s">
        <v>140</v>
      </c>
      <c r="B88" s="1">
        <v>45729</v>
      </c>
      <c r="C88" t="s">
        <v>12</v>
      </c>
      <c r="D88" t="s">
        <v>13</v>
      </c>
      <c r="E88">
        <v>60</v>
      </c>
      <c r="F88">
        <v>5</v>
      </c>
      <c r="G88">
        <v>300</v>
      </c>
      <c r="H88" t="s">
        <v>14</v>
      </c>
      <c r="I88" t="s">
        <v>44</v>
      </c>
      <c r="J88" t="s">
        <v>16</v>
      </c>
      <c r="K88" t="s">
        <v>40</v>
      </c>
      <c r="L88" s="1" t="str">
        <f t="shared" si="8"/>
        <v>March</v>
      </c>
      <c r="M88" s="3">
        <f t="shared" si="9"/>
        <v>3</v>
      </c>
      <c r="N88" t="str">
        <f t="shared" si="10"/>
        <v>Q1</v>
      </c>
      <c r="O88" t="str">
        <f t="shared" si="11"/>
        <v>Low (&lt;2K)</v>
      </c>
      <c r="P88" t="str">
        <f t="shared" si="12"/>
        <v>Bulk (5+)</v>
      </c>
      <c r="Q88">
        <f t="shared" si="13"/>
        <v>1</v>
      </c>
      <c r="R88">
        <f t="shared" si="14"/>
        <v>0</v>
      </c>
      <c r="S88">
        <f t="shared" si="15"/>
        <v>0</v>
      </c>
    </row>
    <row r="89" spans="1:19" x14ac:dyDescent="0.3">
      <c r="A89" t="s">
        <v>141</v>
      </c>
      <c r="B89" s="1">
        <v>45694</v>
      </c>
      <c r="C89" t="s">
        <v>65</v>
      </c>
      <c r="D89" t="s">
        <v>61</v>
      </c>
      <c r="E89">
        <v>1200</v>
      </c>
      <c r="F89">
        <v>2</v>
      </c>
      <c r="G89">
        <v>2400</v>
      </c>
      <c r="H89" t="s">
        <v>72</v>
      </c>
      <c r="I89" t="s">
        <v>63</v>
      </c>
      <c r="J89" t="s">
        <v>16</v>
      </c>
      <c r="K89" t="s">
        <v>23</v>
      </c>
      <c r="L89" s="1" t="str">
        <f t="shared" si="8"/>
        <v>February</v>
      </c>
      <c r="M89" s="3">
        <f t="shared" si="9"/>
        <v>2</v>
      </c>
      <c r="N89" t="str">
        <f t="shared" si="10"/>
        <v>Q1</v>
      </c>
      <c r="O89" t="str">
        <f t="shared" si="11"/>
        <v>Mid (2K-5K)</v>
      </c>
      <c r="P89" t="str">
        <f t="shared" si="12"/>
        <v>Small (1-2)</v>
      </c>
      <c r="Q89">
        <f t="shared" si="13"/>
        <v>0</v>
      </c>
      <c r="R89">
        <f t="shared" si="14"/>
        <v>0</v>
      </c>
      <c r="S89">
        <f t="shared" si="15"/>
        <v>0</v>
      </c>
    </row>
    <row r="90" spans="1:19" x14ac:dyDescent="0.3">
      <c r="A90" t="s">
        <v>142</v>
      </c>
      <c r="B90" s="1">
        <v>45742</v>
      </c>
      <c r="C90" t="s">
        <v>12</v>
      </c>
      <c r="D90" t="s">
        <v>13</v>
      </c>
      <c r="E90">
        <v>60</v>
      </c>
      <c r="F90">
        <v>5</v>
      </c>
      <c r="G90">
        <v>300</v>
      </c>
      <c r="H90" t="s">
        <v>14</v>
      </c>
      <c r="I90" t="s">
        <v>68</v>
      </c>
      <c r="J90" t="s">
        <v>31</v>
      </c>
      <c r="K90" t="s">
        <v>17</v>
      </c>
      <c r="L90" s="1" t="str">
        <f t="shared" si="8"/>
        <v>March</v>
      </c>
      <c r="M90" s="3">
        <f t="shared" si="9"/>
        <v>3</v>
      </c>
      <c r="N90" t="str">
        <f t="shared" si="10"/>
        <v>Q1</v>
      </c>
      <c r="O90" t="str">
        <f t="shared" si="11"/>
        <v>Low (&lt;2K)</v>
      </c>
      <c r="P90" t="str">
        <f t="shared" si="12"/>
        <v>Bulk (5+)</v>
      </c>
      <c r="Q90">
        <f t="shared" si="13"/>
        <v>0</v>
      </c>
      <c r="R90">
        <f t="shared" si="14"/>
        <v>1</v>
      </c>
      <c r="S90">
        <f t="shared" si="15"/>
        <v>300</v>
      </c>
    </row>
    <row r="91" spans="1:19" x14ac:dyDescent="0.3">
      <c r="A91" t="s">
        <v>143</v>
      </c>
      <c r="B91" s="1">
        <v>45740</v>
      </c>
      <c r="C91" t="s">
        <v>33</v>
      </c>
      <c r="D91" t="s">
        <v>20</v>
      </c>
      <c r="E91">
        <v>150</v>
      </c>
      <c r="F91">
        <v>5</v>
      </c>
      <c r="G91">
        <v>750</v>
      </c>
      <c r="H91" t="s">
        <v>21</v>
      </c>
      <c r="I91" t="s">
        <v>38</v>
      </c>
      <c r="J91" t="s">
        <v>27</v>
      </c>
      <c r="K91" t="s">
        <v>40</v>
      </c>
      <c r="L91" s="1" t="str">
        <f t="shared" si="8"/>
        <v>March</v>
      </c>
      <c r="M91" s="3">
        <f t="shared" si="9"/>
        <v>3</v>
      </c>
      <c r="N91" t="str">
        <f t="shared" si="10"/>
        <v>Q1</v>
      </c>
      <c r="O91" t="str">
        <f t="shared" si="11"/>
        <v>Low (&lt;2K)</v>
      </c>
      <c r="P91" t="str">
        <f t="shared" si="12"/>
        <v>Bulk (5+)</v>
      </c>
      <c r="Q91">
        <f t="shared" si="13"/>
        <v>1</v>
      </c>
      <c r="R91">
        <f t="shared" si="14"/>
        <v>0</v>
      </c>
      <c r="S91">
        <f t="shared" si="15"/>
        <v>0</v>
      </c>
    </row>
    <row r="92" spans="1:19" x14ac:dyDescent="0.3">
      <c r="A92" t="s">
        <v>144</v>
      </c>
      <c r="B92" s="1">
        <v>45691</v>
      </c>
      <c r="C92" t="s">
        <v>56</v>
      </c>
      <c r="D92" t="s">
        <v>20</v>
      </c>
      <c r="E92">
        <v>800</v>
      </c>
      <c r="F92">
        <v>4</v>
      </c>
      <c r="G92">
        <v>3200</v>
      </c>
      <c r="H92" t="s">
        <v>57</v>
      </c>
      <c r="I92" t="s">
        <v>38</v>
      </c>
      <c r="J92" t="s">
        <v>58</v>
      </c>
      <c r="K92" t="s">
        <v>23</v>
      </c>
      <c r="L92" s="1" t="str">
        <f t="shared" si="8"/>
        <v>February</v>
      </c>
      <c r="M92" s="3">
        <f t="shared" si="9"/>
        <v>2</v>
      </c>
      <c r="N92" t="str">
        <f t="shared" si="10"/>
        <v>Q1</v>
      </c>
      <c r="O92" t="str">
        <f t="shared" si="11"/>
        <v>Mid (2K-5K)</v>
      </c>
      <c r="P92" t="str">
        <f t="shared" si="12"/>
        <v>Medium (3-4)</v>
      </c>
      <c r="Q92">
        <f t="shared" si="13"/>
        <v>0</v>
      </c>
      <c r="R92">
        <f t="shared" si="14"/>
        <v>0</v>
      </c>
      <c r="S92">
        <f t="shared" si="15"/>
        <v>0</v>
      </c>
    </row>
    <row r="93" spans="1:19" x14ac:dyDescent="0.3">
      <c r="A93" t="s">
        <v>145</v>
      </c>
      <c r="B93" s="1">
        <v>45731</v>
      </c>
      <c r="C93" t="s">
        <v>42</v>
      </c>
      <c r="D93" t="s">
        <v>20</v>
      </c>
      <c r="E93">
        <v>500</v>
      </c>
      <c r="F93">
        <v>2</v>
      </c>
      <c r="G93">
        <v>1000</v>
      </c>
      <c r="H93" t="s">
        <v>29</v>
      </c>
      <c r="I93" t="s">
        <v>46</v>
      </c>
      <c r="J93" t="s">
        <v>39</v>
      </c>
      <c r="K93" t="s">
        <v>17</v>
      </c>
      <c r="L93" s="1" t="str">
        <f t="shared" si="8"/>
        <v>March</v>
      </c>
      <c r="M93" s="3">
        <f t="shared" si="9"/>
        <v>3</v>
      </c>
      <c r="N93" t="str">
        <f t="shared" si="10"/>
        <v>Q1</v>
      </c>
      <c r="O93" t="str">
        <f t="shared" si="11"/>
        <v>Low (&lt;2K)</v>
      </c>
      <c r="P93" t="str">
        <f t="shared" si="12"/>
        <v>Small (1-2)</v>
      </c>
      <c r="Q93">
        <f t="shared" si="13"/>
        <v>0</v>
      </c>
      <c r="R93">
        <f t="shared" si="14"/>
        <v>1</v>
      </c>
      <c r="S93">
        <f t="shared" si="15"/>
        <v>1000</v>
      </c>
    </row>
    <row r="94" spans="1:19" x14ac:dyDescent="0.3">
      <c r="A94" t="s">
        <v>146</v>
      </c>
      <c r="B94" s="1">
        <v>45722</v>
      </c>
      <c r="C94" t="s">
        <v>65</v>
      </c>
      <c r="D94" t="s">
        <v>61</v>
      </c>
      <c r="E94">
        <v>1200</v>
      </c>
      <c r="F94">
        <v>5</v>
      </c>
      <c r="G94">
        <v>6000</v>
      </c>
      <c r="H94" t="s">
        <v>51</v>
      </c>
      <c r="I94" t="s">
        <v>26</v>
      </c>
      <c r="J94" t="s">
        <v>39</v>
      </c>
      <c r="K94" t="s">
        <v>17</v>
      </c>
      <c r="L94" s="1" t="str">
        <f t="shared" si="8"/>
        <v>March</v>
      </c>
      <c r="M94" s="3">
        <f t="shared" si="9"/>
        <v>3</v>
      </c>
      <c r="N94" t="str">
        <f t="shared" si="10"/>
        <v>Q1</v>
      </c>
      <c r="O94" t="str">
        <f t="shared" si="11"/>
        <v>High (≥5K)</v>
      </c>
      <c r="P94" t="str">
        <f t="shared" si="12"/>
        <v>Bulk (5+)</v>
      </c>
      <c r="Q94">
        <f t="shared" si="13"/>
        <v>0</v>
      </c>
      <c r="R94">
        <f t="shared" si="14"/>
        <v>1</v>
      </c>
      <c r="S94">
        <f t="shared" si="15"/>
        <v>6000</v>
      </c>
    </row>
    <row r="95" spans="1:19" x14ac:dyDescent="0.3">
      <c r="A95" t="s">
        <v>147</v>
      </c>
      <c r="B95" s="1">
        <v>45741</v>
      </c>
      <c r="C95" t="s">
        <v>53</v>
      </c>
      <c r="D95" t="s">
        <v>36</v>
      </c>
      <c r="E95">
        <v>40</v>
      </c>
      <c r="F95">
        <v>5</v>
      </c>
      <c r="G95">
        <v>200</v>
      </c>
      <c r="H95" t="s">
        <v>57</v>
      </c>
      <c r="I95" t="s">
        <v>63</v>
      </c>
      <c r="J95" t="s">
        <v>31</v>
      </c>
      <c r="K95" t="s">
        <v>17</v>
      </c>
      <c r="L95" s="1" t="str">
        <f t="shared" si="8"/>
        <v>March</v>
      </c>
      <c r="M95" s="3">
        <f t="shared" si="9"/>
        <v>3</v>
      </c>
      <c r="N95" t="str">
        <f t="shared" si="10"/>
        <v>Q1</v>
      </c>
      <c r="O95" t="str">
        <f t="shared" si="11"/>
        <v>Low (&lt;2K)</v>
      </c>
      <c r="P95" t="str">
        <f t="shared" si="12"/>
        <v>Bulk (5+)</v>
      </c>
      <c r="Q95">
        <f t="shared" si="13"/>
        <v>0</v>
      </c>
      <c r="R95">
        <f t="shared" si="14"/>
        <v>1</v>
      </c>
      <c r="S95">
        <f t="shared" si="15"/>
        <v>200</v>
      </c>
    </row>
    <row r="96" spans="1:19" x14ac:dyDescent="0.3">
      <c r="A96" t="s">
        <v>148</v>
      </c>
      <c r="B96" s="1">
        <v>45705</v>
      </c>
      <c r="C96" t="s">
        <v>33</v>
      </c>
      <c r="D96" t="s">
        <v>20</v>
      </c>
      <c r="E96">
        <v>150</v>
      </c>
      <c r="F96">
        <v>4</v>
      </c>
      <c r="G96">
        <v>600</v>
      </c>
      <c r="H96" t="s">
        <v>72</v>
      </c>
      <c r="I96" t="s">
        <v>15</v>
      </c>
      <c r="J96" t="s">
        <v>16</v>
      </c>
      <c r="K96" t="s">
        <v>17</v>
      </c>
      <c r="L96" s="1" t="str">
        <f t="shared" si="8"/>
        <v>February</v>
      </c>
      <c r="M96" s="3">
        <f t="shared" si="9"/>
        <v>2</v>
      </c>
      <c r="N96" t="str">
        <f t="shared" si="10"/>
        <v>Q1</v>
      </c>
      <c r="O96" t="str">
        <f t="shared" si="11"/>
        <v>Low (&lt;2K)</v>
      </c>
      <c r="P96" t="str">
        <f t="shared" si="12"/>
        <v>Medium (3-4)</v>
      </c>
      <c r="Q96">
        <f t="shared" si="13"/>
        <v>0</v>
      </c>
      <c r="R96">
        <f t="shared" si="14"/>
        <v>1</v>
      </c>
      <c r="S96">
        <f t="shared" si="15"/>
        <v>600</v>
      </c>
    </row>
    <row r="97" spans="1:19" x14ac:dyDescent="0.3">
      <c r="A97" t="s">
        <v>149</v>
      </c>
      <c r="B97" s="1">
        <v>45746</v>
      </c>
      <c r="C97" t="s">
        <v>33</v>
      </c>
      <c r="D97" t="s">
        <v>20</v>
      </c>
      <c r="E97">
        <v>150</v>
      </c>
      <c r="F97">
        <v>3</v>
      </c>
      <c r="G97">
        <v>450</v>
      </c>
      <c r="H97" t="s">
        <v>80</v>
      </c>
      <c r="I97" t="s">
        <v>15</v>
      </c>
      <c r="J97" t="s">
        <v>27</v>
      </c>
      <c r="K97" t="s">
        <v>40</v>
      </c>
      <c r="L97" s="1" t="str">
        <f t="shared" si="8"/>
        <v>March</v>
      </c>
      <c r="M97" s="3">
        <f t="shared" si="9"/>
        <v>3</v>
      </c>
      <c r="N97" t="str">
        <f t="shared" si="10"/>
        <v>Q1</v>
      </c>
      <c r="O97" t="str">
        <f t="shared" si="11"/>
        <v>Low (&lt;2K)</v>
      </c>
      <c r="P97" t="str">
        <f t="shared" si="12"/>
        <v>Medium (3-4)</v>
      </c>
      <c r="Q97">
        <f t="shared" si="13"/>
        <v>1</v>
      </c>
      <c r="R97">
        <f t="shared" si="14"/>
        <v>0</v>
      </c>
      <c r="S97">
        <f t="shared" si="15"/>
        <v>0</v>
      </c>
    </row>
    <row r="98" spans="1:19" x14ac:dyDescent="0.3">
      <c r="A98" t="s">
        <v>150</v>
      </c>
      <c r="B98" s="1">
        <v>45741</v>
      </c>
      <c r="C98" t="s">
        <v>49</v>
      </c>
      <c r="D98" t="s">
        <v>50</v>
      </c>
      <c r="E98">
        <v>15</v>
      </c>
      <c r="F98">
        <v>5</v>
      </c>
      <c r="G98">
        <v>75</v>
      </c>
      <c r="H98" t="s">
        <v>29</v>
      </c>
      <c r="I98" t="s">
        <v>81</v>
      </c>
      <c r="J98" t="s">
        <v>27</v>
      </c>
      <c r="K98" t="s">
        <v>23</v>
      </c>
      <c r="L98" s="1" t="str">
        <f t="shared" si="8"/>
        <v>March</v>
      </c>
      <c r="M98" s="3">
        <f t="shared" si="9"/>
        <v>3</v>
      </c>
      <c r="N98" t="str">
        <f t="shared" si="10"/>
        <v>Q1</v>
      </c>
      <c r="O98" t="str">
        <f t="shared" si="11"/>
        <v>Low (&lt;2K)</v>
      </c>
      <c r="P98" t="str">
        <f t="shared" si="12"/>
        <v>Bulk (5+)</v>
      </c>
      <c r="Q98">
        <f t="shared" si="13"/>
        <v>0</v>
      </c>
      <c r="R98">
        <f t="shared" si="14"/>
        <v>0</v>
      </c>
      <c r="S98">
        <f t="shared" si="15"/>
        <v>0</v>
      </c>
    </row>
    <row r="99" spans="1:19" x14ac:dyDescent="0.3">
      <c r="A99" t="s">
        <v>151</v>
      </c>
      <c r="B99" s="1">
        <v>45702</v>
      </c>
      <c r="C99" t="s">
        <v>33</v>
      </c>
      <c r="D99" t="s">
        <v>20</v>
      </c>
      <c r="E99">
        <v>150</v>
      </c>
      <c r="F99">
        <v>2</v>
      </c>
      <c r="G99">
        <v>300</v>
      </c>
      <c r="H99" t="s">
        <v>72</v>
      </c>
      <c r="I99" t="s">
        <v>44</v>
      </c>
      <c r="J99" t="s">
        <v>39</v>
      </c>
      <c r="K99" t="s">
        <v>23</v>
      </c>
      <c r="L99" s="1" t="str">
        <f t="shared" si="8"/>
        <v>February</v>
      </c>
      <c r="M99" s="3">
        <f t="shared" si="9"/>
        <v>2</v>
      </c>
      <c r="N99" t="str">
        <f t="shared" si="10"/>
        <v>Q1</v>
      </c>
      <c r="O99" t="str">
        <f t="shared" si="11"/>
        <v>Low (&lt;2K)</v>
      </c>
      <c r="P99" t="str">
        <f t="shared" si="12"/>
        <v>Small (1-2)</v>
      </c>
      <c r="Q99">
        <f t="shared" si="13"/>
        <v>0</v>
      </c>
      <c r="R99">
        <f t="shared" si="14"/>
        <v>0</v>
      </c>
      <c r="S99">
        <f t="shared" si="15"/>
        <v>0</v>
      </c>
    </row>
    <row r="100" spans="1:19" x14ac:dyDescent="0.3">
      <c r="A100" t="s">
        <v>152</v>
      </c>
      <c r="B100" s="1">
        <v>45706</v>
      </c>
      <c r="C100" t="s">
        <v>60</v>
      </c>
      <c r="D100" t="s">
        <v>61</v>
      </c>
      <c r="E100">
        <v>600</v>
      </c>
      <c r="F100">
        <v>5</v>
      </c>
      <c r="G100">
        <v>3000</v>
      </c>
      <c r="H100" t="s">
        <v>54</v>
      </c>
      <c r="I100" t="s">
        <v>63</v>
      </c>
      <c r="J100" t="s">
        <v>16</v>
      </c>
      <c r="K100" t="s">
        <v>40</v>
      </c>
      <c r="L100" s="1" t="str">
        <f t="shared" si="8"/>
        <v>February</v>
      </c>
      <c r="M100" s="3">
        <f t="shared" si="9"/>
        <v>2</v>
      </c>
      <c r="N100" t="str">
        <f t="shared" si="10"/>
        <v>Q1</v>
      </c>
      <c r="O100" t="str">
        <f t="shared" si="11"/>
        <v>Mid (2K-5K)</v>
      </c>
      <c r="P100" t="str">
        <f t="shared" si="12"/>
        <v>Bulk (5+)</v>
      </c>
      <c r="Q100">
        <f t="shared" si="13"/>
        <v>1</v>
      </c>
      <c r="R100">
        <f t="shared" si="14"/>
        <v>0</v>
      </c>
      <c r="S100">
        <f t="shared" si="15"/>
        <v>0</v>
      </c>
    </row>
    <row r="101" spans="1:19" x14ac:dyDescent="0.3">
      <c r="A101" t="s">
        <v>153</v>
      </c>
      <c r="B101" s="1">
        <v>45701</v>
      </c>
      <c r="C101" t="s">
        <v>12</v>
      </c>
      <c r="D101" t="s">
        <v>13</v>
      </c>
      <c r="E101">
        <v>60</v>
      </c>
      <c r="F101">
        <v>1</v>
      </c>
      <c r="G101">
        <v>60</v>
      </c>
      <c r="H101" t="s">
        <v>80</v>
      </c>
      <c r="I101" t="s">
        <v>38</v>
      </c>
      <c r="J101" t="s">
        <v>58</v>
      </c>
      <c r="K101" t="s">
        <v>17</v>
      </c>
      <c r="L101" s="1" t="str">
        <f t="shared" si="8"/>
        <v>February</v>
      </c>
      <c r="M101" s="3">
        <f t="shared" si="9"/>
        <v>2</v>
      </c>
      <c r="N101" t="str">
        <f t="shared" si="10"/>
        <v>Q1</v>
      </c>
      <c r="O101" t="str">
        <f t="shared" si="11"/>
        <v>Low (&lt;2K)</v>
      </c>
      <c r="P101" t="str">
        <f t="shared" si="12"/>
        <v>Small (1-2)</v>
      </c>
      <c r="Q101">
        <f t="shared" si="13"/>
        <v>0</v>
      </c>
      <c r="R101">
        <f t="shared" si="14"/>
        <v>1</v>
      </c>
      <c r="S101">
        <f t="shared" si="15"/>
        <v>60</v>
      </c>
    </row>
    <row r="102" spans="1:19" x14ac:dyDescent="0.3">
      <c r="A102" t="s">
        <v>154</v>
      </c>
      <c r="B102" s="1">
        <v>45708</v>
      </c>
      <c r="C102" t="s">
        <v>49</v>
      </c>
      <c r="D102" t="s">
        <v>50</v>
      </c>
      <c r="E102">
        <v>15</v>
      </c>
      <c r="F102">
        <v>5</v>
      </c>
      <c r="G102">
        <v>75</v>
      </c>
      <c r="H102" t="s">
        <v>25</v>
      </c>
      <c r="I102" t="s">
        <v>26</v>
      </c>
      <c r="J102" t="s">
        <v>39</v>
      </c>
      <c r="K102" t="s">
        <v>23</v>
      </c>
      <c r="L102" s="1" t="str">
        <f t="shared" si="8"/>
        <v>February</v>
      </c>
      <c r="M102" s="3">
        <f t="shared" si="9"/>
        <v>2</v>
      </c>
      <c r="N102" t="str">
        <f t="shared" si="10"/>
        <v>Q1</v>
      </c>
      <c r="O102" t="str">
        <f t="shared" si="11"/>
        <v>Low (&lt;2K)</v>
      </c>
      <c r="P102" t="str">
        <f t="shared" si="12"/>
        <v>Bulk (5+)</v>
      </c>
      <c r="Q102">
        <f t="shared" si="13"/>
        <v>0</v>
      </c>
      <c r="R102">
        <f t="shared" si="14"/>
        <v>0</v>
      </c>
      <c r="S102">
        <f t="shared" si="15"/>
        <v>0</v>
      </c>
    </row>
    <row r="103" spans="1:19" x14ac:dyDescent="0.3">
      <c r="A103" t="s">
        <v>155</v>
      </c>
      <c r="B103" s="1">
        <v>45716</v>
      </c>
      <c r="C103" t="s">
        <v>42</v>
      </c>
      <c r="D103" t="s">
        <v>20</v>
      </c>
      <c r="E103">
        <v>500</v>
      </c>
      <c r="F103">
        <v>2</v>
      </c>
      <c r="G103">
        <v>1000</v>
      </c>
      <c r="H103" t="s">
        <v>51</v>
      </c>
      <c r="I103" t="s">
        <v>46</v>
      </c>
      <c r="J103" t="s">
        <v>39</v>
      </c>
      <c r="K103" t="s">
        <v>23</v>
      </c>
      <c r="L103" s="1" t="str">
        <f t="shared" si="8"/>
        <v>February</v>
      </c>
      <c r="M103" s="3">
        <f t="shared" si="9"/>
        <v>2</v>
      </c>
      <c r="N103" t="str">
        <f t="shared" si="10"/>
        <v>Q1</v>
      </c>
      <c r="O103" t="str">
        <f t="shared" si="11"/>
        <v>Low (&lt;2K)</v>
      </c>
      <c r="P103" t="str">
        <f t="shared" si="12"/>
        <v>Small (1-2)</v>
      </c>
      <c r="Q103">
        <f t="shared" si="13"/>
        <v>0</v>
      </c>
      <c r="R103">
        <f t="shared" si="14"/>
        <v>0</v>
      </c>
      <c r="S103">
        <f t="shared" si="15"/>
        <v>0</v>
      </c>
    </row>
    <row r="104" spans="1:19" x14ac:dyDescent="0.3">
      <c r="A104" t="s">
        <v>156</v>
      </c>
      <c r="B104" s="1">
        <v>45730</v>
      </c>
      <c r="C104" t="s">
        <v>35</v>
      </c>
      <c r="D104" t="s">
        <v>36</v>
      </c>
      <c r="E104">
        <v>20</v>
      </c>
      <c r="F104">
        <v>2</v>
      </c>
      <c r="G104">
        <v>40</v>
      </c>
      <c r="H104" t="s">
        <v>54</v>
      </c>
      <c r="I104" t="s">
        <v>81</v>
      </c>
      <c r="J104" t="s">
        <v>39</v>
      </c>
      <c r="K104" t="s">
        <v>23</v>
      </c>
      <c r="L104" s="1" t="str">
        <f t="shared" si="8"/>
        <v>March</v>
      </c>
      <c r="M104" s="3">
        <f t="shared" si="9"/>
        <v>3</v>
      </c>
      <c r="N104" t="str">
        <f t="shared" si="10"/>
        <v>Q1</v>
      </c>
      <c r="O104" t="str">
        <f t="shared" si="11"/>
        <v>Low (&lt;2K)</v>
      </c>
      <c r="P104" t="str">
        <f t="shared" si="12"/>
        <v>Small (1-2)</v>
      </c>
      <c r="Q104">
        <f t="shared" si="13"/>
        <v>0</v>
      </c>
      <c r="R104">
        <f t="shared" si="14"/>
        <v>0</v>
      </c>
      <c r="S104">
        <f t="shared" si="15"/>
        <v>0</v>
      </c>
    </row>
    <row r="105" spans="1:19" x14ac:dyDescent="0.3">
      <c r="A105" t="s">
        <v>157</v>
      </c>
      <c r="B105" s="1">
        <v>45710</v>
      </c>
      <c r="C105" t="s">
        <v>53</v>
      </c>
      <c r="D105" t="s">
        <v>36</v>
      </c>
      <c r="E105">
        <v>40</v>
      </c>
      <c r="F105">
        <v>5</v>
      </c>
      <c r="G105">
        <v>200</v>
      </c>
      <c r="H105" t="s">
        <v>80</v>
      </c>
      <c r="I105" t="s">
        <v>30</v>
      </c>
      <c r="J105" t="s">
        <v>16</v>
      </c>
      <c r="K105" t="s">
        <v>23</v>
      </c>
      <c r="L105" s="1" t="str">
        <f t="shared" si="8"/>
        <v>February</v>
      </c>
      <c r="M105" s="3">
        <f t="shared" si="9"/>
        <v>2</v>
      </c>
      <c r="N105" t="str">
        <f t="shared" si="10"/>
        <v>Q1</v>
      </c>
      <c r="O105" t="str">
        <f t="shared" si="11"/>
        <v>Low (&lt;2K)</v>
      </c>
      <c r="P105" t="str">
        <f t="shared" si="12"/>
        <v>Bulk (5+)</v>
      </c>
      <c r="Q105">
        <f t="shared" si="13"/>
        <v>0</v>
      </c>
      <c r="R105">
        <f t="shared" si="14"/>
        <v>0</v>
      </c>
      <c r="S105">
        <f t="shared" si="15"/>
        <v>0</v>
      </c>
    </row>
    <row r="106" spans="1:19" x14ac:dyDescent="0.3">
      <c r="A106" t="s">
        <v>158</v>
      </c>
      <c r="B106" s="1">
        <v>45732</v>
      </c>
      <c r="C106" t="s">
        <v>53</v>
      </c>
      <c r="D106" t="s">
        <v>36</v>
      </c>
      <c r="E106">
        <v>40</v>
      </c>
      <c r="F106">
        <v>1</v>
      </c>
      <c r="G106">
        <v>40</v>
      </c>
      <c r="H106" t="s">
        <v>80</v>
      </c>
      <c r="I106" t="s">
        <v>46</v>
      </c>
      <c r="J106" t="s">
        <v>16</v>
      </c>
      <c r="K106" t="s">
        <v>23</v>
      </c>
      <c r="L106" s="1" t="str">
        <f t="shared" si="8"/>
        <v>March</v>
      </c>
      <c r="M106" s="3">
        <f t="shared" si="9"/>
        <v>3</v>
      </c>
      <c r="N106" t="str">
        <f t="shared" si="10"/>
        <v>Q1</v>
      </c>
      <c r="O106" t="str">
        <f t="shared" si="11"/>
        <v>Low (&lt;2K)</v>
      </c>
      <c r="P106" t="str">
        <f t="shared" si="12"/>
        <v>Small (1-2)</v>
      </c>
      <c r="Q106">
        <f t="shared" si="13"/>
        <v>0</v>
      </c>
      <c r="R106">
        <f t="shared" si="14"/>
        <v>0</v>
      </c>
      <c r="S106">
        <f t="shared" si="15"/>
        <v>0</v>
      </c>
    </row>
    <row r="107" spans="1:19" x14ac:dyDescent="0.3">
      <c r="A107" t="s">
        <v>159</v>
      </c>
      <c r="B107" s="1">
        <v>45731</v>
      </c>
      <c r="C107" t="s">
        <v>35</v>
      </c>
      <c r="D107" t="s">
        <v>36</v>
      </c>
      <c r="E107">
        <v>20</v>
      </c>
      <c r="F107">
        <v>3</v>
      </c>
      <c r="G107">
        <v>60</v>
      </c>
      <c r="H107" t="s">
        <v>29</v>
      </c>
      <c r="I107" t="s">
        <v>81</v>
      </c>
      <c r="J107" t="s">
        <v>39</v>
      </c>
      <c r="K107" t="s">
        <v>23</v>
      </c>
      <c r="L107" s="1" t="str">
        <f t="shared" si="8"/>
        <v>March</v>
      </c>
      <c r="M107" s="3">
        <f t="shared" si="9"/>
        <v>3</v>
      </c>
      <c r="N107" t="str">
        <f t="shared" si="10"/>
        <v>Q1</v>
      </c>
      <c r="O107" t="str">
        <f t="shared" si="11"/>
        <v>Low (&lt;2K)</v>
      </c>
      <c r="P107" t="str">
        <f t="shared" si="12"/>
        <v>Medium (3-4)</v>
      </c>
      <c r="Q107">
        <f t="shared" si="13"/>
        <v>0</v>
      </c>
      <c r="R107">
        <f t="shared" si="14"/>
        <v>0</v>
      </c>
      <c r="S107">
        <f t="shared" si="15"/>
        <v>0</v>
      </c>
    </row>
    <row r="108" spans="1:19" x14ac:dyDescent="0.3">
      <c r="A108" t="s">
        <v>160</v>
      </c>
      <c r="B108" s="1">
        <v>45735</v>
      </c>
      <c r="C108" t="s">
        <v>53</v>
      </c>
      <c r="D108" t="s">
        <v>36</v>
      </c>
      <c r="E108">
        <v>40</v>
      </c>
      <c r="F108">
        <v>3</v>
      </c>
      <c r="G108">
        <v>120</v>
      </c>
      <c r="H108" t="s">
        <v>29</v>
      </c>
      <c r="I108" t="s">
        <v>30</v>
      </c>
      <c r="J108" t="s">
        <v>31</v>
      </c>
      <c r="K108" t="s">
        <v>17</v>
      </c>
      <c r="L108" s="1" t="str">
        <f t="shared" si="8"/>
        <v>March</v>
      </c>
      <c r="M108" s="3">
        <f t="shared" si="9"/>
        <v>3</v>
      </c>
      <c r="N108" t="str">
        <f t="shared" si="10"/>
        <v>Q1</v>
      </c>
      <c r="O108" t="str">
        <f t="shared" si="11"/>
        <v>Low (&lt;2K)</v>
      </c>
      <c r="P108" t="str">
        <f t="shared" si="12"/>
        <v>Medium (3-4)</v>
      </c>
      <c r="Q108">
        <f t="shared" si="13"/>
        <v>0</v>
      </c>
      <c r="R108">
        <f t="shared" si="14"/>
        <v>1</v>
      </c>
      <c r="S108">
        <f t="shared" si="15"/>
        <v>120</v>
      </c>
    </row>
    <row r="109" spans="1:19" x14ac:dyDescent="0.3">
      <c r="A109" t="s">
        <v>161</v>
      </c>
      <c r="B109" s="1">
        <v>45732</v>
      </c>
      <c r="C109" t="s">
        <v>19</v>
      </c>
      <c r="D109" t="s">
        <v>20</v>
      </c>
      <c r="E109">
        <v>100</v>
      </c>
      <c r="F109">
        <v>2</v>
      </c>
      <c r="G109">
        <v>200</v>
      </c>
      <c r="H109" t="s">
        <v>57</v>
      </c>
      <c r="I109" t="s">
        <v>44</v>
      </c>
      <c r="J109" t="s">
        <v>39</v>
      </c>
      <c r="K109" t="s">
        <v>23</v>
      </c>
      <c r="L109" s="1" t="str">
        <f t="shared" si="8"/>
        <v>March</v>
      </c>
      <c r="M109" s="3">
        <f t="shared" si="9"/>
        <v>3</v>
      </c>
      <c r="N109" t="str">
        <f t="shared" si="10"/>
        <v>Q1</v>
      </c>
      <c r="O109" t="str">
        <f t="shared" si="11"/>
        <v>Low (&lt;2K)</v>
      </c>
      <c r="P109" t="str">
        <f t="shared" si="12"/>
        <v>Small (1-2)</v>
      </c>
      <c r="Q109">
        <f t="shared" si="13"/>
        <v>0</v>
      </c>
      <c r="R109">
        <f t="shared" si="14"/>
        <v>0</v>
      </c>
      <c r="S109">
        <f t="shared" si="15"/>
        <v>0</v>
      </c>
    </row>
    <row r="110" spans="1:19" x14ac:dyDescent="0.3">
      <c r="A110" t="s">
        <v>162</v>
      </c>
      <c r="B110" s="1">
        <v>45733</v>
      </c>
      <c r="C110" t="s">
        <v>53</v>
      </c>
      <c r="D110" t="s">
        <v>36</v>
      </c>
      <c r="E110">
        <v>40</v>
      </c>
      <c r="F110">
        <v>5</v>
      </c>
      <c r="G110">
        <v>200</v>
      </c>
      <c r="H110" t="s">
        <v>54</v>
      </c>
      <c r="I110" t="s">
        <v>15</v>
      </c>
      <c r="J110" t="s">
        <v>39</v>
      </c>
      <c r="K110" t="s">
        <v>40</v>
      </c>
      <c r="L110" s="1" t="str">
        <f t="shared" si="8"/>
        <v>March</v>
      </c>
      <c r="M110" s="3">
        <f t="shared" si="9"/>
        <v>3</v>
      </c>
      <c r="N110" t="str">
        <f t="shared" si="10"/>
        <v>Q1</v>
      </c>
      <c r="O110" t="str">
        <f t="shared" si="11"/>
        <v>Low (&lt;2K)</v>
      </c>
      <c r="P110" t="str">
        <f t="shared" si="12"/>
        <v>Bulk (5+)</v>
      </c>
      <c r="Q110">
        <f t="shared" si="13"/>
        <v>1</v>
      </c>
      <c r="R110">
        <f t="shared" si="14"/>
        <v>0</v>
      </c>
      <c r="S110">
        <f t="shared" si="15"/>
        <v>0</v>
      </c>
    </row>
    <row r="111" spans="1:19" x14ac:dyDescent="0.3">
      <c r="A111" t="s">
        <v>163</v>
      </c>
      <c r="B111" s="1">
        <v>45706</v>
      </c>
      <c r="C111" t="s">
        <v>42</v>
      </c>
      <c r="D111" t="s">
        <v>20</v>
      </c>
      <c r="E111">
        <v>500</v>
      </c>
      <c r="F111">
        <v>5</v>
      </c>
      <c r="G111">
        <v>2500</v>
      </c>
      <c r="H111" t="s">
        <v>29</v>
      </c>
      <c r="I111" t="s">
        <v>30</v>
      </c>
      <c r="J111" t="s">
        <v>27</v>
      </c>
      <c r="K111" t="s">
        <v>23</v>
      </c>
      <c r="L111" s="1" t="str">
        <f t="shared" si="8"/>
        <v>February</v>
      </c>
      <c r="M111" s="3">
        <f t="shared" si="9"/>
        <v>2</v>
      </c>
      <c r="N111" t="str">
        <f t="shared" si="10"/>
        <v>Q1</v>
      </c>
      <c r="O111" t="str">
        <f t="shared" si="11"/>
        <v>Mid (2K-5K)</v>
      </c>
      <c r="P111" t="str">
        <f t="shared" si="12"/>
        <v>Bulk (5+)</v>
      </c>
      <c r="Q111">
        <f t="shared" si="13"/>
        <v>0</v>
      </c>
      <c r="R111">
        <f t="shared" si="14"/>
        <v>0</v>
      </c>
      <c r="S111">
        <f t="shared" si="15"/>
        <v>0</v>
      </c>
    </row>
    <row r="112" spans="1:19" x14ac:dyDescent="0.3">
      <c r="A112" t="s">
        <v>164</v>
      </c>
      <c r="B112" s="1">
        <v>45747</v>
      </c>
      <c r="C112" t="s">
        <v>56</v>
      </c>
      <c r="D112" t="s">
        <v>20</v>
      </c>
      <c r="E112">
        <v>800</v>
      </c>
      <c r="F112">
        <v>4</v>
      </c>
      <c r="G112">
        <v>3200</v>
      </c>
      <c r="H112" t="s">
        <v>14</v>
      </c>
      <c r="I112" t="s">
        <v>68</v>
      </c>
      <c r="J112" t="s">
        <v>31</v>
      </c>
      <c r="K112" t="s">
        <v>40</v>
      </c>
      <c r="L112" s="1" t="str">
        <f t="shared" si="8"/>
        <v>March</v>
      </c>
      <c r="M112" s="3">
        <f t="shared" si="9"/>
        <v>3</v>
      </c>
      <c r="N112" t="str">
        <f t="shared" si="10"/>
        <v>Q1</v>
      </c>
      <c r="O112" t="str">
        <f t="shared" si="11"/>
        <v>Mid (2K-5K)</v>
      </c>
      <c r="P112" t="str">
        <f t="shared" si="12"/>
        <v>Medium (3-4)</v>
      </c>
      <c r="Q112">
        <f t="shared" si="13"/>
        <v>1</v>
      </c>
      <c r="R112">
        <f t="shared" si="14"/>
        <v>0</v>
      </c>
      <c r="S112">
        <f t="shared" si="15"/>
        <v>0</v>
      </c>
    </row>
    <row r="113" spans="1:19" x14ac:dyDescent="0.3">
      <c r="A113" t="s">
        <v>165</v>
      </c>
      <c r="B113" s="1">
        <v>45722</v>
      </c>
      <c r="C113" t="s">
        <v>60</v>
      </c>
      <c r="D113" t="s">
        <v>61</v>
      </c>
      <c r="E113">
        <v>600</v>
      </c>
      <c r="F113">
        <v>2</v>
      </c>
      <c r="G113">
        <v>1200</v>
      </c>
      <c r="H113" t="s">
        <v>51</v>
      </c>
      <c r="I113" t="s">
        <v>30</v>
      </c>
      <c r="J113" t="s">
        <v>58</v>
      </c>
      <c r="K113" t="s">
        <v>17</v>
      </c>
      <c r="L113" s="1" t="str">
        <f t="shared" si="8"/>
        <v>March</v>
      </c>
      <c r="M113" s="3">
        <f t="shared" si="9"/>
        <v>3</v>
      </c>
      <c r="N113" t="str">
        <f t="shared" si="10"/>
        <v>Q1</v>
      </c>
      <c r="O113" t="str">
        <f t="shared" si="11"/>
        <v>Low (&lt;2K)</v>
      </c>
      <c r="P113" t="str">
        <f t="shared" si="12"/>
        <v>Small (1-2)</v>
      </c>
      <c r="Q113">
        <f t="shared" si="13"/>
        <v>0</v>
      </c>
      <c r="R113">
        <f t="shared" si="14"/>
        <v>1</v>
      </c>
      <c r="S113">
        <f t="shared" si="15"/>
        <v>1200</v>
      </c>
    </row>
    <row r="114" spans="1:19" x14ac:dyDescent="0.3">
      <c r="A114" t="s">
        <v>166</v>
      </c>
      <c r="B114" s="1">
        <v>45735</v>
      </c>
      <c r="C114" t="s">
        <v>49</v>
      </c>
      <c r="D114" t="s">
        <v>50</v>
      </c>
      <c r="E114">
        <v>15</v>
      </c>
      <c r="F114">
        <v>5</v>
      </c>
      <c r="G114">
        <v>75</v>
      </c>
      <c r="H114" t="s">
        <v>51</v>
      </c>
      <c r="I114" t="s">
        <v>22</v>
      </c>
      <c r="J114" t="s">
        <v>16</v>
      </c>
      <c r="K114" t="s">
        <v>23</v>
      </c>
      <c r="L114" s="1" t="str">
        <f t="shared" si="8"/>
        <v>March</v>
      </c>
      <c r="M114" s="3">
        <f t="shared" si="9"/>
        <v>3</v>
      </c>
      <c r="N114" t="str">
        <f t="shared" si="10"/>
        <v>Q1</v>
      </c>
      <c r="O114" t="str">
        <f t="shared" si="11"/>
        <v>Low (&lt;2K)</v>
      </c>
      <c r="P114" t="str">
        <f t="shared" si="12"/>
        <v>Bulk (5+)</v>
      </c>
      <c r="Q114">
        <f t="shared" si="13"/>
        <v>0</v>
      </c>
      <c r="R114">
        <f t="shared" si="14"/>
        <v>0</v>
      </c>
      <c r="S114">
        <f t="shared" si="15"/>
        <v>0</v>
      </c>
    </row>
    <row r="115" spans="1:19" x14ac:dyDescent="0.3">
      <c r="A115" t="s">
        <v>167</v>
      </c>
      <c r="B115" s="1">
        <v>45711</v>
      </c>
      <c r="C115" t="s">
        <v>12</v>
      </c>
      <c r="D115" t="s">
        <v>13</v>
      </c>
      <c r="E115">
        <v>60</v>
      </c>
      <c r="F115">
        <v>1</v>
      </c>
      <c r="G115">
        <v>60</v>
      </c>
      <c r="H115" t="s">
        <v>14</v>
      </c>
      <c r="I115" t="s">
        <v>38</v>
      </c>
      <c r="J115" t="s">
        <v>31</v>
      </c>
      <c r="K115" t="s">
        <v>23</v>
      </c>
      <c r="L115" s="1" t="str">
        <f t="shared" si="8"/>
        <v>February</v>
      </c>
      <c r="M115" s="3">
        <f t="shared" si="9"/>
        <v>2</v>
      </c>
      <c r="N115" t="str">
        <f t="shared" si="10"/>
        <v>Q1</v>
      </c>
      <c r="O115" t="str">
        <f t="shared" si="11"/>
        <v>Low (&lt;2K)</v>
      </c>
      <c r="P115" t="str">
        <f t="shared" si="12"/>
        <v>Small (1-2)</v>
      </c>
      <c r="Q115">
        <f t="shared" si="13"/>
        <v>0</v>
      </c>
      <c r="R115">
        <f t="shared" si="14"/>
        <v>0</v>
      </c>
      <c r="S115">
        <f t="shared" si="15"/>
        <v>0</v>
      </c>
    </row>
    <row r="116" spans="1:19" x14ac:dyDescent="0.3">
      <c r="A116" t="s">
        <v>168</v>
      </c>
      <c r="B116" s="1">
        <v>45737</v>
      </c>
      <c r="C116" t="s">
        <v>12</v>
      </c>
      <c r="D116" t="s">
        <v>13</v>
      </c>
      <c r="E116">
        <v>60</v>
      </c>
      <c r="F116">
        <v>3</v>
      </c>
      <c r="G116">
        <v>180</v>
      </c>
      <c r="H116" t="s">
        <v>29</v>
      </c>
      <c r="I116" t="s">
        <v>44</v>
      </c>
      <c r="J116" t="s">
        <v>27</v>
      </c>
      <c r="K116" t="s">
        <v>40</v>
      </c>
      <c r="L116" s="1" t="str">
        <f t="shared" si="8"/>
        <v>March</v>
      </c>
      <c r="M116" s="3">
        <f t="shared" si="9"/>
        <v>3</v>
      </c>
      <c r="N116" t="str">
        <f t="shared" si="10"/>
        <v>Q1</v>
      </c>
      <c r="O116" t="str">
        <f t="shared" si="11"/>
        <v>Low (&lt;2K)</v>
      </c>
      <c r="P116" t="str">
        <f t="shared" si="12"/>
        <v>Medium (3-4)</v>
      </c>
      <c r="Q116">
        <f t="shared" si="13"/>
        <v>1</v>
      </c>
      <c r="R116">
        <f t="shared" si="14"/>
        <v>0</v>
      </c>
      <c r="S116">
        <f t="shared" si="15"/>
        <v>0</v>
      </c>
    </row>
    <row r="117" spans="1:19" x14ac:dyDescent="0.3">
      <c r="A117" t="s">
        <v>169</v>
      </c>
      <c r="B117" s="1">
        <v>45735</v>
      </c>
      <c r="C117" t="s">
        <v>56</v>
      </c>
      <c r="D117" t="s">
        <v>20</v>
      </c>
      <c r="E117">
        <v>800</v>
      </c>
      <c r="F117">
        <v>4</v>
      </c>
      <c r="G117">
        <v>3200</v>
      </c>
      <c r="H117" t="s">
        <v>14</v>
      </c>
      <c r="I117" t="s">
        <v>68</v>
      </c>
      <c r="J117" t="s">
        <v>27</v>
      </c>
      <c r="K117" t="s">
        <v>40</v>
      </c>
      <c r="L117" s="1" t="str">
        <f t="shared" si="8"/>
        <v>March</v>
      </c>
      <c r="M117" s="3">
        <f t="shared" si="9"/>
        <v>3</v>
      </c>
      <c r="N117" t="str">
        <f t="shared" si="10"/>
        <v>Q1</v>
      </c>
      <c r="O117" t="str">
        <f t="shared" si="11"/>
        <v>Mid (2K-5K)</v>
      </c>
      <c r="P117" t="str">
        <f t="shared" si="12"/>
        <v>Medium (3-4)</v>
      </c>
      <c r="Q117">
        <f t="shared" si="13"/>
        <v>1</v>
      </c>
      <c r="R117">
        <f t="shared" si="14"/>
        <v>0</v>
      </c>
      <c r="S117">
        <f t="shared" si="15"/>
        <v>0</v>
      </c>
    </row>
    <row r="118" spans="1:19" x14ac:dyDescent="0.3">
      <c r="A118" t="s">
        <v>170</v>
      </c>
      <c r="B118" s="1">
        <v>45715</v>
      </c>
      <c r="C118" t="s">
        <v>35</v>
      </c>
      <c r="D118" t="s">
        <v>36</v>
      </c>
      <c r="E118">
        <v>20</v>
      </c>
      <c r="F118">
        <v>1</v>
      </c>
      <c r="G118">
        <v>20</v>
      </c>
      <c r="H118" t="s">
        <v>57</v>
      </c>
      <c r="I118" t="s">
        <v>15</v>
      </c>
      <c r="J118" t="s">
        <v>31</v>
      </c>
      <c r="K118" t="s">
        <v>40</v>
      </c>
      <c r="L118" s="1" t="str">
        <f t="shared" si="8"/>
        <v>February</v>
      </c>
      <c r="M118" s="3">
        <f t="shared" si="9"/>
        <v>2</v>
      </c>
      <c r="N118" t="str">
        <f t="shared" si="10"/>
        <v>Q1</v>
      </c>
      <c r="O118" t="str">
        <f t="shared" si="11"/>
        <v>Low (&lt;2K)</v>
      </c>
      <c r="P118" t="str">
        <f t="shared" si="12"/>
        <v>Small (1-2)</v>
      </c>
      <c r="Q118">
        <f t="shared" si="13"/>
        <v>1</v>
      </c>
      <c r="R118">
        <f t="shared" si="14"/>
        <v>0</v>
      </c>
      <c r="S118">
        <f t="shared" si="15"/>
        <v>0</v>
      </c>
    </row>
    <row r="119" spans="1:19" x14ac:dyDescent="0.3">
      <c r="A119" t="s">
        <v>171</v>
      </c>
      <c r="B119" s="1">
        <v>45698</v>
      </c>
      <c r="C119" t="s">
        <v>19</v>
      </c>
      <c r="D119" t="s">
        <v>20</v>
      </c>
      <c r="E119">
        <v>100</v>
      </c>
      <c r="F119">
        <v>5</v>
      </c>
      <c r="G119">
        <v>500</v>
      </c>
      <c r="H119" t="s">
        <v>25</v>
      </c>
      <c r="I119" t="s">
        <v>38</v>
      </c>
      <c r="J119" t="s">
        <v>27</v>
      </c>
      <c r="K119" t="s">
        <v>40</v>
      </c>
      <c r="L119" s="1" t="str">
        <f t="shared" si="8"/>
        <v>February</v>
      </c>
      <c r="M119" s="3">
        <f t="shared" si="9"/>
        <v>2</v>
      </c>
      <c r="N119" t="str">
        <f t="shared" si="10"/>
        <v>Q1</v>
      </c>
      <c r="O119" t="str">
        <f t="shared" si="11"/>
        <v>Low (&lt;2K)</v>
      </c>
      <c r="P119" t="str">
        <f t="shared" si="12"/>
        <v>Bulk (5+)</v>
      </c>
      <c r="Q119">
        <f t="shared" si="13"/>
        <v>1</v>
      </c>
      <c r="R119">
        <f t="shared" si="14"/>
        <v>0</v>
      </c>
      <c r="S119">
        <f t="shared" si="15"/>
        <v>0</v>
      </c>
    </row>
    <row r="120" spans="1:19" x14ac:dyDescent="0.3">
      <c r="A120" t="s">
        <v>172</v>
      </c>
      <c r="B120" s="1">
        <v>45732</v>
      </c>
      <c r="C120" t="s">
        <v>42</v>
      </c>
      <c r="D120" t="s">
        <v>20</v>
      </c>
      <c r="E120">
        <v>500</v>
      </c>
      <c r="F120">
        <v>2</v>
      </c>
      <c r="G120">
        <v>1000</v>
      </c>
      <c r="H120" t="s">
        <v>72</v>
      </c>
      <c r="I120" t="s">
        <v>81</v>
      </c>
      <c r="J120" t="s">
        <v>39</v>
      </c>
      <c r="K120" t="s">
        <v>23</v>
      </c>
      <c r="L120" s="1" t="str">
        <f t="shared" si="8"/>
        <v>March</v>
      </c>
      <c r="M120" s="3">
        <f t="shared" si="9"/>
        <v>3</v>
      </c>
      <c r="N120" t="str">
        <f t="shared" si="10"/>
        <v>Q1</v>
      </c>
      <c r="O120" t="str">
        <f t="shared" si="11"/>
        <v>Low (&lt;2K)</v>
      </c>
      <c r="P120" t="str">
        <f t="shared" si="12"/>
        <v>Small (1-2)</v>
      </c>
      <c r="Q120">
        <f t="shared" si="13"/>
        <v>0</v>
      </c>
      <c r="R120">
        <f t="shared" si="14"/>
        <v>0</v>
      </c>
      <c r="S120">
        <f t="shared" si="15"/>
        <v>0</v>
      </c>
    </row>
    <row r="121" spans="1:19" x14ac:dyDescent="0.3">
      <c r="A121" t="s">
        <v>173</v>
      </c>
      <c r="B121" s="1">
        <v>45704</v>
      </c>
      <c r="C121" t="s">
        <v>56</v>
      </c>
      <c r="D121" t="s">
        <v>20</v>
      </c>
      <c r="E121">
        <v>800</v>
      </c>
      <c r="F121">
        <v>5</v>
      </c>
      <c r="G121">
        <v>4000</v>
      </c>
      <c r="H121" t="s">
        <v>21</v>
      </c>
      <c r="I121" t="s">
        <v>26</v>
      </c>
      <c r="J121" t="s">
        <v>39</v>
      </c>
      <c r="K121" t="s">
        <v>40</v>
      </c>
      <c r="L121" s="1" t="str">
        <f t="shared" si="8"/>
        <v>February</v>
      </c>
      <c r="M121" s="3">
        <f t="shared" si="9"/>
        <v>2</v>
      </c>
      <c r="N121" t="str">
        <f t="shared" si="10"/>
        <v>Q1</v>
      </c>
      <c r="O121" t="str">
        <f t="shared" si="11"/>
        <v>Mid (2K-5K)</v>
      </c>
      <c r="P121" t="str">
        <f t="shared" si="12"/>
        <v>Bulk (5+)</v>
      </c>
      <c r="Q121">
        <f t="shared" si="13"/>
        <v>1</v>
      </c>
      <c r="R121">
        <f t="shared" si="14"/>
        <v>0</v>
      </c>
      <c r="S121">
        <f t="shared" si="15"/>
        <v>0</v>
      </c>
    </row>
    <row r="122" spans="1:19" x14ac:dyDescent="0.3">
      <c r="A122" t="s">
        <v>174</v>
      </c>
      <c r="B122" s="1">
        <v>45706</v>
      </c>
      <c r="C122" t="s">
        <v>42</v>
      </c>
      <c r="D122" t="s">
        <v>20</v>
      </c>
      <c r="E122">
        <v>500</v>
      </c>
      <c r="F122">
        <v>1</v>
      </c>
      <c r="G122">
        <v>500</v>
      </c>
      <c r="H122" t="s">
        <v>25</v>
      </c>
      <c r="I122" t="s">
        <v>30</v>
      </c>
      <c r="J122" t="s">
        <v>58</v>
      </c>
      <c r="K122" t="s">
        <v>23</v>
      </c>
      <c r="L122" s="1" t="str">
        <f t="shared" si="8"/>
        <v>February</v>
      </c>
      <c r="M122" s="3">
        <f t="shared" si="9"/>
        <v>2</v>
      </c>
      <c r="N122" t="str">
        <f t="shared" si="10"/>
        <v>Q1</v>
      </c>
      <c r="O122" t="str">
        <f t="shared" si="11"/>
        <v>Low (&lt;2K)</v>
      </c>
      <c r="P122" t="str">
        <f t="shared" si="12"/>
        <v>Small (1-2)</v>
      </c>
      <c r="Q122">
        <f t="shared" si="13"/>
        <v>0</v>
      </c>
      <c r="R122">
        <f t="shared" si="14"/>
        <v>0</v>
      </c>
      <c r="S122">
        <f t="shared" si="15"/>
        <v>0</v>
      </c>
    </row>
    <row r="123" spans="1:19" x14ac:dyDescent="0.3">
      <c r="A123" t="s">
        <v>175</v>
      </c>
      <c r="B123" s="1">
        <v>45744</v>
      </c>
      <c r="C123" t="s">
        <v>56</v>
      </c>
      <c r="D123" t="s">
        <v>20</v>
      </c>
      <c r="E123">
        <v>800</v>
      </c>
      <c r="F123">
        <v>3</v>
      </c>
      <c r="G123">
        <v>2400</v>
      </c>
      <c r="H123" t="s">
        <v>25</v>
      </c>
      <c r="I123" t="s">
        <v>44</v>
      </c>
      <c r="J123" t="s">
        <v>31</v>
      </c>
      <c r="K123" t="s">
        <v>17</v>
      </c>
      <c r="L123" s="1" t="str">
        <f t="shared" si="8"/>
        <v>March</v>
      </c>
      <c r="M123" s="3">
        <f t="shared" si="9"/>
        <v>3</v>
      </c>
      <c r="N123" t="str">
        <f t="shared" si="10"/>
        <v>Q1</v>
      </c>
      <c r="O123" t="str">
        <f t="shared" si="11"/>
        <v>Mid (2K-5K)</v>
      </c>
      <c r="P123" t="str">
        <f t="shared" si="12"/>
        <v>Medium (3-4)</v>
      </c>
      <c r="Q123">
        <f t="shared" si="13"/>
        <v>0</v>
      </c>
      <c r="R123">
        <f t="shared" si="14"/>
        <v>1</v>
      </c>
      <c r="S123">
        <f t="shared" si="15"/>
        <v>2400</v>
      </c>
    </row>
    <row r="124" spans="1:19" x14ac:dyDescent="0.3">
      <c r="A124" t="s">
        <v>176</v>
      </c>
      <c r="B124" s="1">
        <v>45711</v>
      </c>
      <c r="C124" t="s">
        <v>49</v>
      </c>
      <c r="D124" t="s">
        <v>50</v>
      </c>
      <c r="E124">
        <v>15</v>
      </c>
      <c r="F124">
        <v>3</v>
      </c>
      <c r="G124">
        <v>45</v>
      </c>
      <c r="H124" t="s">
        <v>72</v>
      </c>
      <c r="I124" t="s">
        <v>46</v>
      </c>
      <c r="J124" t="s">
        <v>58</v>
      </c>
      <c r="K124" t="s">
        <v>17</v>
      </c>
      <c r="L124" s="1" t="str">
        <f t="shared" si="8"/>
        <v>February</v>
      </c>
      <c r="M124" s="3">
        <f t="shared" si="9"/>
        <v>2</v>
      </c>
      <c r="N124" t="str">
        <f t="shared" si="10"/>
        <v>Q1</v>
      </c>
      <c r="O124" t="str">
        <f t="shared" si="11"/>
        <v>Low (&lt;2K)</v>
      </c>
      <c r="P124" t="str">
        <f t="shared" si="12"/>
        <v>Medium (3-4)</v>
      </c>
      <c r="Q124">
        <f t="shared" si="13"/>
        <v>0</v>
      </c>
      <c r="R124">
        <f t="shared" si="14"/>
        <v>1</v>
      </c>
      <c r="S124">
        <f t="shared" si="15"/>
        <v>45</v>
      </c>
    </row>
    <row r="125" spans="1:19" x14ac:dyDescent="0.3">
      <c r="A125" t="s">
        <v>177</v>
      </c>
      <c r="B125" s="1">
        <v>45698</v>
      </c>
      <c r="C125" t="s">
        <v>49</v>
      </c>
      <c r="D125" t="s">
        <v>50</v>
      </c>
      <c r="E125">
        <v>15</v>
      </c>
      <c r="F125">
        <v>1</v>
      </c>
      <c r="G125">
        <v>15</v>
      </c>
      <c r="H125" t="s">
        <v>14</v>
      </c>
      <c r="I125" t="s">
        <v>63</v>
      </c>
      <c r="J125" t="s">
        <v>58</v>
      </c>
      <c r="K125" t="s">
        <v>23</v>
      </c>
      <c r="L125" s="1" t="str">
        <f t="shared" si="8"/>
        <v>February</v>
      </c>
      <c r="M125" s="3">
        <f t="shared" si="9"/>
        <v>2</v>
      </c>
      <c r="N125" t="str">
        <f t="shared" si="10"/>
        <v>Q1</v>
      </c>
      <c r="O125" t="str">
        <f t="shared" si="11"/>
        <v>Low (&lt;2K)</v>
      </c>
      <c r="P125" t="str">
        <f t="shared" si="12"/>
        <v>Small (1-2)</v>
      </c>
      <c r="Q125">
        <f t="shared" si="13"/>
        <v>0</v>
      </c>
      <c r="R125">
        <f t="shared" si="14"/>
        <v>0</v>
      </c>
      <c r="S125">
        <f t="shared" si="15"/>
        <v>0</v>
      </c>
    </row>
    <row r="126" spans="1:19" x14ac:dyDescent="0.3">
      <c r="A126" t="s">
        <v>178</v>
      </c>
      <c r="B126" s="1">
        <v>45711</v>
      </c>
      <c r="C126" t="s">
        <v>42</v>
      </c>
      <c r="D126" t="s">
        <v>20</v>
      </c>
      <c r="E126">
        <v>500</v>
      </c>
      <c r="F126">
        <v>1</v>
      </c>
      <c r="G126">
        <v>500</v>
      </c>
      <c r="H126" t="s">
        <v>21</v>
      </c>
      <c r="I126" t="s">
        <v>26</v>
      </c>
      <c r="J126" t="s">
        <v>27</v>
      </c>
      <c r="K126" t="s">
        <v>40</v>
      </c>
      <c r="L126" s="1" t="str">
        <f t="shared" si="8"/>
        <v>February</v>
      </c>
      <c r="M126" s="3">
        <f t="shared" si="9"/>
        <v>2</v>
      </c>
      <c r="N126" t="str">
        <f t="shared" si="10"/>
        <v>Q1</v>
      </c>
      <c r="O126" t="str">
        <f t="shared" si="11"/>
        <v>Low (&lt;2K)</v>
      </c>
      <c r="P126" t="str">
        <f t="shared" si="12"/>
        <v>Small (1-2)</v>
      </c>
      <c r="Q126">
        <f t="shared" si="13"/>
        <v>1</v>
      </c>
      <c r="R126">
        <f t="shared" si="14"/>
        <v>0</v>
      </c>
      <c r="S126">
        <f t="shared" si="15"/>
        <v>0</v>
      </c>
    </row>
    <row r="127" spans="1:19" x14ac:dyDescent="0.3">
      <c r="A127" t="s">
        <v>179</v>
      </c>
      <c r="B127" s="1">
        <v>45692</v>
      </c>
      <c r="C127" t="s">
        <v>65</v>
      </c>
      <c r="D127" t="s">
        <v>61</v>
      </c>
      <c r="E127">
        <v>1200</v>
      </c>
      <c r="F127">
        <v>5</v>
      </c>
      <c r="G127">
        <v>6000</v>
      </c>
      <c r="H127" t="s">
        <v>29</v>
      </c>
      <c r="I127" t="s">
        <v>81</v>
      </c>
      <c r="J127" t="s">
        <v>58</v>
      </c>
      <c r="K127" t="s">
        <v>23</v>
      </c>
      <c r="L127" s="1" t="str">
        <f t="shared" si="8"/>
        <v>February</v>
      </c>
      <c r="M127" s="3">
        <f t="shared" si="9"/>
        <v>2</v>
      </c>
      <c r="N127" t="str">
        <f t="shared" si="10"/>
        <v>Q1</v>
      </c>
      <c r="O127" t="str">
        <f t="shared" si="11"/>
        <v>High (≥5K)</v>
      </c>
      <c r="P127" t="str">
        <f t="shared" si="12"/>
        <v>Bulk (5+)</v>
      </c>
      <c r="Q127">
        <f t="shared" si="13"/>
        <v>0</v>
      </c>
      <c r="R127">
        <f t="shared" si="14"/>
        <v>0</v>
      </c>
      <c r="S127">
        <f t="shared" si="15"/>
        <v>0</v>
      </c>
    </row>
    <row r="128" spans="1:19" x14ac:dyDescent="0.3">
      <c r="A128" t="s">
        <v>180</v>
      </c>
      <c r="B128" s="1">
        <v>45706</v>
      </c>
      <c r="C128" t="s">
        <v>35</v>
      </c>
      <c r="D128" t="s">
        <v>36</v>
      </c>
      <c r="E128">
        <v>20</v>
      </c>
      <c r="F128">
        <v>3</v>
      </c>
      <c r="G128">
        <v>60</v>
      </c>
      <c r="H128" t="s">
        <v>14</v>
      </c>
      <c r="I128" t="s">
        <v>30</v>
      </c>
      <c r="J128" t="s">
        <v>16</v>
      </c>
      <c r="K128" t="s">
        <v>40</v>
      </c>
      <c r="L128" s="1" t="str">
        <f t="shared" si="8"/>
        <v>February</v>
      </c>
      <c r="M128" s="3">
        <f t="shared" si="9"/>
        <v>2</v>
      </c>
      <c r="N128" t="str">
        <f t="shared" si="10"/>
        <v>Q1</v>
      </c>
      <c r="O128" t="str">
        <f t="shared" si="11"/>
        <v>Low (&lt;2K)</v>
      </c>
      <c r="P128" t="str">
        <f t="shared" si="12"/>
        <v>Medium (3-4)</v>
      </c>
      <c r="Q128">
        <f t="shared" si="13"/>
        <v>1</v>
      </c>
      <c r="R128">
        <f t="shared" si="14"/>
        <v>0</v>
      </c>
      <c r="S128">
        <f t="shared" si="15"/>
        <v>0</v>
      </c>
    </row>
    <row r="129" spans="1:19" x14ac:dyDescent="0.3">
      <c r="A129" t="s">
        <v>181</v>
      </c>
      <c r="B129" s="1">
        <v>45739</v>
      </c>
      <c r="C129" t="s">
        <v>33</v>
      </c>
      <c r="D129" t="s">
        <v>20</v>
      </c>
      <c r="E129">
        <v>150</v>
      </c>
      <c r="F129">
        <v>2</v>
      </c>
      <c r="G129">
        <v>300</v>
      </c>
      <c r="H129" t="s">
        <v>21</v>
      </c>
      <c r="I129" t="s">
        <v>30</v>
      </c>
      <c r="J129" t="s">
        <v>39</v>
      </c>
      <c r="K129" t="s">
        <v>17</v>
      </c>
      <c r="L129" s="1" t="str">
        <f t="shared" si="8"/>
        <v>March</v>
      </c>
      <c r="M129" s="3">
        <f t="shared" si="9"/>
        <v>3</v>
      </c>
      <c r="N129" t="str">
        <f t="shared" si="10"/>
        <v>Q1</v>
      </c>
      <c r="O129" t="str">
        <f t="shared" si="11"/>
        <v>Low (&lt;2K)</v>
      </c>
      <c r="P129" t="str">
        <f t="shared" si="12"/>
        <v>Small (1-2)</v>
      </c>
      <c r="Q129">
        <f t="shared" si="13"/>
        <v>0</v>
      </c>
      <c r="R129">
        <f t="shared" si="14"/>
        <v>1</v>
      </c>
      <c r="S129">
        <f t="shared" si="15"/>
        <v>300</v>
      </c>
    </row>
    <row r="130" spans="1:19" x14ac:dyDescent="0.3">
      <c r="A130" t="s">
        <v>182</v>
      </c>
      <c r="B130" s="1">
        <v>45714</v>
      </c>
      <c r="C130" t="s">
        <v>53</v>
      </c>
      <c r="D130" t="s">
        <v>36</v>
      </c>
      <c r="E130">
        <v>40</v>
      </c>
      <c r="F130">
        <v>5</v>
      </c>
      <c r="G130">
        <v>200</v>
      </c>
      <c r="H130" t="s">
        <v>21</v>
      </c>
      <c r="I130" t="s">
        <v>15</v>
      </c>
      <c r="J130" t="s">
        <v>16</v>
      </c>
      <c r="K130" t="s">
        <v>23</v>
      </c>
      <c r="L130" s="1" t="str">
        <f t="shared" ref="L130:L193" si="16">TEXT(B130,"MMMM")</f>
        <v>February</v>
      </c>
      <c r="M130" s="3">
        <f t="shared" si="9"/>
        <v>2</v>
      </c>
      <c r="N130" t="str">
        <f t="shared" si="10"/>
        <v>Q1</v>
      </c>
      <c r="O130" t="str">
        <f t="shared" si="11"/>
        <v>Low (&lt;2K)</v>
      </c>
      <c r="P130" t="str">
        <f t="shared" si="12"/>
        <v>Bulk (5+)</v>
      </c>
      <c r="Q130">
        <f t="shared" si="13"/>
        <v>0</v>
      </c>
      <c r="R130">
        <f t="shared" si="14"/>
        <v>0</v>
      </c>
      <c r="S130">
        <f t="shared" si="15"/>
        <v>0</v>
      </c>
    </row>
    <row r="131" spans="1:19" x14ac:dyDescent="0.3">
      <c r="A131" t="s">
        <v>183</v>
      </c>
      <c r="B131" s="1">
        <v>45698</v>
      </c>
      <c r="C131" t="s">
        <v>33</v>
      </c>
      <c r="D131" t="s">
        <v>20</v>
      </c>
      <c r="E131">
        <v>150</v>
      </c>
      <c r="F131">
        <v>5</v>
      </c>
      <c r="G131">
        <v>750</v>
      </c>
      <c r="H131" t="s">
        <v>51</v>
      </c>
      <c r="I131" t="s">
        <v>46</v>
      </c>
      <c r="J131" t="s">
        <v>39</v>
      </c>
      <c r="K131" t="s">
        <v>40</v>
      </c>
      <c r="L131" s="1" t="str">
        <f t="shared" si="16"/>
        <v>February</v>
      </c>
      <c r="M131" s="3">
        <f t="shared" ref="M131:M194" si="17">MONTH(B131)</f>
        <v>2</v>
      </c>
      <c r="N131" t="str">
        <f t="shared" ref="N131:N194" si="18">IF(MONTH(B131)&lt;=3,"Q1",IF(MONTH(B131)&lt;=6,"Q2",IF(MONTH(B131)&lt;=9,"Q3","Q4")))</f>
        <v>Q1</v>
      </c>
      <c r="O131" t="str">
        <f t="shared" ref="O131:O194" si="19">IF(G131&gt;=5000,"High (≥5K)",IF(G131&gt;=2000,"Mid (2K-5K)","Low (&lt;2K)"))</f>
        <v>Low (&lt;2K)</v>
      </c>
      <c r="P131" t="str">
        <f t="shared" ref="P131:P194" si="20">IF(F131&gt;=5,"Bulk (5+)",IF(F131&gt;=3,"Medium (3-4)","Small (1-2)"))</f>
        <v>Bulk (5+)</v>
      </c>
      <c r="Q131">
        <f t="shared" ref="Q131:Q194" si="21">IF(K131="Completed",1,0)</f>
        <v>1</v>
      </c>
      <c r="R131">
        <f t="shared" ref="R131:R194" si="22">IF(K131="Cancelled",1,0)</f>
        <v>0</v>
      </c>
      <c r="S131">
        <f t="shared" ref="S131:S194" si="23">IF(K131="Cancelled",G131,0)</f>
        <v>0</v>
      </c>
    </row>
    <row r="132" spans="1:19" x14ac:dyDescent="0.3">
      <c r="A132" t="s">
        <v>184</v>
      </c>
      <c r="B132" s="1">
        <v>45714</v>
      </c>
      <c r="C132" t="s">
        <v>53</v>
      </c>
      <c r="D132" t="s">
        <v>36</v>
      </c>
      <c r="E132">
        <v>40</v>
      </c>
      <c r="F132">
        <v>2</v>
      </c>
      <c r="G132">
        <v>80</v>
      </c>
      <c r="H132" t="s">
        <v>57</v>
      </c>
      <c r="I132" t="s">
        <v>81</v>
      </c>
      <c r="J132" t="s">
        <v>31</v>
      </c>
      <c r="K132" t="s">
        <v>23</v>
      </c>
      <c r="L132" s="1" t="str">
        <f t="shared" si="16"/>
        <v>February</v>
      </c>
      <c r="M132" s="3">
        <f t="shared" si="17"/>
        <v>2</v>
      </c>
      <c r="N132" t="str">
        <f t="shared" si="18"/>
        <v>Q1</v>
      </c>
      <c r="O132" t="str">
        <f t="shared" si="19"/>
        <v>Low (&lt;2K)</v>
      </c>
      <c r="P132" t="str">
        <f t="shared" si="20"/>
        <v>Small (1-2)</v>
      </c>
      <c r="Q132">
        <f t="shared" si="21"/>
        <v>0</v>
      </c>
      <c r="R132">
        <f t="shared" si="22"/>
        <v>0</v>
      </c>
      <c r="S132">
        <f t="shared" si="23"/>
        <v>0</v>
      </c>
    </row>
    <row r="133" spans="1:19" x14ac:dyDescent="0.3">
      <c r="A133" t="s">
        <v>185</v>
      </c>
      <c r="B133" s="1">
        <v>45723</v>
      </c>
      <c r="C133" t="s">
        <v>42</v>
      </c>
      <c r="D133" t="s">
        <v>20</v>
      </c>
      <c r="E133">
        <v>500</v>
      </c>
      <c r="F133">
        <v>2</v>
      </c>
      <c r="G133">
        <v>1000</v>
      </c>
      <c r="H133" t="s">
        <v>29</v>
      </c>
      <c r="I133" t="s">
        <v>81</v>
      </c>
      <c r="J133" t="s">
        <v>16</v>
      </c>
      <c r="K133" t="s">
        <v>23</v>
      </c>
      <c r="L133" s="1" t="str">
        <f t="shared" si="16"/>
        <v>March</v>
      </c>
      <c r="M133" s="3">
        <f t="shared" si="17"/>
        <v>3</v>
      </c>
      <c r="N133" t="str">
        <f t="shared" si="18"/>
        <v>Q1</v>
      </c>
      <c r="O133" t="str">
        <f t="shared" si="19"/>
        <v>Low (&lt;2K)</v>
      </c>
      <c r="P133" t="str">
        <f t="shared" si="20"/>
        <v>Small (1-2)</v>
      </c>
      <c r="Q133">
        <f t="shared" si="21"/>
        <v>0</v>
      </c>
      <c r="R133">
        <f t="shared" si="22"/>
        <v>0</v>
      </c>
      <c r="S133">
        <f t="shared" si="23"/>
        <v>0</v>
      </c>
    </row>
    <row r="134" spans="1:19" x14ac:dyDescent="0.3">
      <c r="A134" t="s">
        <v>186</v>
      </c>
      <c r="B134" s="1">
        <v>45711</v>
      </c>
      <c r="C134" t="s">
        <v>56</v>
      </c>
      <c r="D134" t="s">
        <v>20</v>
      </c>
      <c r="E134">
        <v>800</v>
      </c>
      <c r="F134">
        <v>1</v>
      </c>
      <c r="G134">
        <v>800</v>
      </c>
      <c r="H134" t="s">
        <v>21</v>
      </c>
      <c r="I134" t="s">
        <v>15</v>
      </c>
      <c r="J134" t="s">
        <v>27</v>
      </c>
      <c r="K134" t="s">
        <v>23</v>
      </c>
      <c r="L134" s="1" t="str">
        <f t="shared" si="16"/>
        <v>February</v>
      </c>
      <c r="M134" s="3">
        <f t="shared" si="17"/>
        <v>2</v>
      </c>
      <c r="N134" t="str">
        <f t="shared" si="18"/>
        <v>Q1</v>
      </c>
      <c r="O134" t="str">
        <f t="shared" si="19"/>
        <v>Low (&lt;2K)</v>
      </c>
      <c r="P134" t="str">
        <f t="shared" si="20"/>
        <v>Small (1-2)</v>
      </c>
      <c r="Q134">
        <f t="shared" si="21"/>
        <v>0</v>
      </c>
      <c r="R134">
        <f t="shared" si="22"/>
        <v>0</v>
      </c>
      <c r="S134">
        <f t="shared" si="23"/>
        <v>0</v>
      </c>
    </row>
    <row r="135" spans="1:19" x14ac:dyDescent="0.3">
      <c r="A135" t="s">
        <v>187</v>
      </c>
      <c r="B135" s="1">
        <v>45695</v>
      </c>
      <c r="C135" t="s">
        <v>42</v>
      </c>
      <c r="D135" t="s">
        <v>20</v>
      </c>
      <c r="E135">
        <v>500</v>
      </c>
      <c r="F135">
        <v>5</v>
      </c>
      <c r="G135">
        <v>2500</v>
      </c>
      <c r="H135" t="s">
        <v>51</v>
      </c>
      <c r="I135" t="s">
        <v>81</v>
      </c>
      <c r="J135" t="s">
        <v>58</v>
      </c>
      <c r="K135" t="s">
        <v>23</v>
      </c>
      <c r="L135" s="1" t="str">
        <f t="shared" si="16"/>
        <v>February</v>
      </c>
      <c r="M135" s="3">
        <f t="shared" si="17"/>
        <v>2</v>
      </c>
      <c r="N135" t="str">
        <f t="shared" si="18"/>
        <v>Q1</v>
      </c>
      <c r="O135" t="str">
        <f t="shared" si="19"/>
        <v>Mid (2K-5K)</v>
      </c>
      <c r="P135" t="str">
        <f t="shared" si="20"/>
        <v>Bulk (5+)</v>
      </c>
      <c r="Q135">
        <f t="shared" si="21"/>
        <v>0</v>
      </c>
      <c r="R135">
        <f t="shared" si="22"/>
        <v>0</v>
      </c>
      <c r="S135">
        <f t="shared" si="23"/>
        <v>0</v>
      </c>
    </row>
    <row r="136" spans="1:19" x14ac:dyDescent="0.3">
      <c r="A136" t="s">
        <v>188</v>
      </c>
      <c r="B136" s="1">
        <v>45698</v>
      </c>
      <c r="C136" t="s">
        <v>35</v>
      </c>
      <c r="D136" t="s">
        <v>36</v>
      </c>
      <c r="E136">
        <v>20</v>
      </c>
      <c r="F136">
        <v>1</v>
      </c>
      <c r="G136">
        <v>20</v>
      </c>
      <c r="H136" t="s">
        <v>29</v>
      </c>
      <c r="I136" t="s">
        <v>44</v>
      </c>
      <c r="J136" t="s">
        <v>31</v>
      </c>
      <c r="K136" t="s">
        <v>23</v>
      </c>
      <c r="L136" s="1" t="str">
        <f t="shared" si="16"/>
        <v>February</v>
      </c>
      <c r="M136" s="3">
        <f t="shared" si="17"/>
        <v>2</v>
      </c>
      <c r="N136" t="str">
        <f t="shared" si="18"/>
        <v>Q1</v>
      </c>
      <c r="O136" t="str">
        <f t="shared" si="19"/>
        <v>Low (&lt;2K)</v>
      </c>
      <c r="P136" t="str">
        <f t="shared" si="20"/>
        <v>Small (1-2)</v>
      </c>
      <c r="Q136">
        <f t="shared" si="21"/>
        <v>0</v>
      </c>
      <c r="R136">
        <f t="shared" si="22"/>
        <v>0</v>
      </c>
      <c r="S136">
        <f t="shared" si="23"/>
        <v>0</v>
      </c>
    </row>
    <row r="137" spans="1:19" x14ac:dyDescent="0.3">
      <c r="A137" t="s">
        <v>189</v>
      </c>
      <c r="B137" s="1">
        <v>45699</v>
      </c>
      <c r="C137" t="s">
        <v>65</v>
      </c>
      <c r="D137" t="s">
        <v>61</v>
      </c>
      <c r="E137">
        <v>1200</v>
      </c>
      <c r="F137">
        <v>2</v>
      </c>
      <c r="G137">
        <v>2400</v>
      </c>
      <c r="H137" t="s">
        <v>57</v>
      </c>
      <c r="I137" t="s">
        <v>22</v>
      </c>
      <c r="J137" t="s">
        <v>39</v>
      </c>
      <c r="K137" t="s">
        <v>17</v>
      </c>
      <c r="L137" s="1" t="str">
        <f t="shared" si="16"/>
        <v>February</v>
      </c>
      <c r="M137" s="3">
        <f t="shared" si="17"/>
        <v>2</v>
      </c>
      <c r="N137" t="str">
        <f t="shared" si="18"/>
        <v>Q1</v>
      </c>
      <c r="O137" t="str">
        <f t="shared" si="19"/>
        <v>Mid (2K-5K)</v>
      </c>
      <c r="P137" t="str">
        <f t="shared" si="20"/>
        <v>Small (1-2)</v>
      </c>
      <c r="Q137">
        <f t="shared" si="21"/>
        <v>0</v>
      </c>
      <c r="R137">
        <f t="shared" si="22"/>
        <v>1</v>
      </c>
      <c r="S137">
        <f t="shared" si="23"/>
        <v>2400</v>
      </c>
    </row>
    <row r="138" spans="1:19" x14ac:dyDescent="0.3">
      <c r="A138" t="s">
        <v>190</v>
      </c>
      <c r="B138" s="1">
        <v>45736</v>
      </c>
      <c r="C138" t="s">
        <v>33</v>
      </c>
      <c r="D138" t="s">
        <v>20</v>
      </c>
      <c r="E138">
        <v>150</v>
      </c>
      <c r="F138">
        <v>3</v>
      </c>
      <c r="G138">
        <v>450</v>
      </c>
      <c r="H138" t="s">
        <v>43</v>
      </c>
      <c r="I138" t="s">
        <v>22</v>
      </c>
      <c r="J138" t="s">
        <v>16</v>
      </c>
      <c r="K138" t="s">
        <v>40</v>
      </c>
      <c r="L138" s="1" t="str">
        <f t="shared" si="16"/>
        <v>March</v>
      </c>
      <c r="M138" s="3">
        <f t="shared" si="17"/>
        <v>3</v>
      </c>
      <c r="N138" t="str">
        <f t="shared" si="18"/>
        <v>Q1</v>
      </c>
      <c r="O138" t="str">
        <f t="shared" si="19"/>
        <v>Low (&lt;2K)</v>
      </c>
      <c r="P138" t="str">
        <f t="shared" si="20"/>
        <v>Medium (3-4)</v>
      </c>
      <c r="Q138">
        <f t="shared" si="21"/>
        <v>1</v>
      </c>
      <c r="R138">
        <f t="shared" si="22"/>
        <v>0</v>
      </c>
      <c r="S138">
        <f t="shared" si="23"/>
        <v>0</v>
      </c>
    </row>
    <row r="139" spans="1:19" x14ac:dyDescent="0.3">
      <c r="A139" t="s">
        <v>191</v>
      </c>
      <c r="B139" s="1">
        <v>45699</v>
      </c>
      <c r="C139" t="s">
        <v>33</v>
      </c>
      <c r="D139" t="s">
        <v>20</v>
      </c>
      <c r="E139">
        <v>150</v>
      </c>
      <c r="F139">
        <v>5</v>
      </c>
      <c r="G139">
        <v>750</v>
      </c>
      <c r="H139" t="s">
        <v>25</v>
      </c>
      <c r="I139" t="s">
        <v>68</v>
      </c>
      <c r="J139" t="s">
        <v>31</v>
      </c>
      <c r="K139" t="s">
        <v>17</v>
      </c>
      <c r="L139" s="1" t="str">
        <f t="shared" si="16"/>
        <v>February</v>
      </c>
      <c r="M139" s="3">
        <f t="shared" si="17"/>
        <v>2</v>
      </c>
      <c r="N139" t="str">
        <f t="shared" si="18"/>
        <v>Q1</v>
      </c>
      <c r="O139" t="str">
        <f t="shared" si="19"/>
        <v>Low (&lt;2K)</v>
      </c>
      <c r="P139" t="str">
        <f t="shared" si="20"/>
        <v>Bulk (5+)</v>
      </c>
      <c r="Q139">
        <f t="shared" si="21"/>
        <v>0</v>
      </c>
      <c r="R139">
        <f t="shared" si="22"/>
        <v>1</v>
      </c>
      <c r="S139">
        <f t="shared" si="23"/>
        <v>750</v>
      </c>
    </row>
    <row r="140" spans="1:19" x14ac:dyDescent="0.3">
      <c r="A140" t="s">
        <v>192</v>
      </c>
      <c r="B140" s="1">
        <v>45734</v>
      </c>
      <c r="C140" t="s">
        <v>56</v>
      </c>
      <c r="D140" t="s">
        <v>20</v>
      </c>
      <c r="E140">
        <v>800</v>
      </c>
      <c r="F140">
        <v>2</v>
      </c>
      <c r="G140">
        <v>1600</v>
      </c>
      <c r="H140" t="s">
        <v>54</v>
      </c>
      <c r="I140" t="s">
        <v>26</v>
      </c>
      <c r="J140" t="s">
        <v>39</v>
      </c>
      <c r="K140" t="s">
        <v>17</v>
      </c>
      <c r="L140" s="1" t="str">
        <f t="shared" si="16"/>
        <v>March</v>
      </c>
      <c r="M140" s="3">
        <f t="shared" si="17"/>
        <v>3</v>
      </c>
      <c r="N140" t="str">
        <f t="shared" si="18"/>
        <v>Q1</v>
      </c>
      <c r="O140" t="str">
        <f t="shared" si="19"/>
        <v>Low (&lt;2K)</v>
      </c>
      <c r="P140" t="str">
        <f t="shared" si="20"/>
        <v>Small (1-2)</v>
      </c>
      <c r="Q140">
        <f t="shared" si="21"/>
        <v>0</v>
      </c>
      <c r="R140">
        <f t="shared" si="22"/>
        <v>1</v>
      </c>
      <c r="S140">
        <f t="shared" si="23"/>
        <v>1600</v>
      </c>
    </row>
    <row r="141" spans="1:19" x14ac:dyDescent="0.3">
      <c r="A141" t="s">
        <v>193</v>
      </c>
      <c r="B141" s="1">
        <v>45735</v>
      </c>
      <c r="C141" t="s">
        <v>33</v>
      </c>
      <c r="D141" t="s">
        <v>20</v>
      </c>
      <c r="E141">
        <v>150</v>
      </c>
      <c r="F141">
        <v>2</v>
      </c>
      <c r="G141">
        <v>300</v>
      </c>
      <c r="H141" t="s">
        <v>29</v>
      </c>
      <c r="I141" t="s">
        <v>44</v>
      </c>
      <c r="J141" t="s">
        <v>16</v>
      </c>
      <c r="K141" t="s">
        <v>40</v>
      </c>
      <c r="L141" s="1" t="str">
        <f t="shared" si="16"/>
        <v>March</v>
      </c>
      <c r="M141" s="3">
        <f t="shared" si="17"/>
        <v>3</v>
      </c>
      <c r="N141" t="str">
        <f t="shared" si="18"/>
        <v>Q1</v>
      </c>
      <c r="O141" t="str">
        <f t="shared" si="19"/>
        <v>Low (&lt;2K)</v>
      </c>
      <c r="P141" t="str">
        <f t="shared" si="20"/>
        <v>Small (1-2)</v>
      </c>
      <c r="Q141">
        <f t="shared" si="21"/>
        <v>1</v>
      </c>
      <c r="R141">
        <f t="shared" si="22"/>
        <v>0</v>
      </c>
      <c r="S141">
        <f t="shared" si="23"/>
        <v>0</v>
      </c>
    </row>
    <row r="142" spans="1:19" x14ac:dyDescent="0.3">
      <c r="A142" t="s">
        <v>194</v>
      </c>
      <c r="B142" s="1">
        <v>45737</v>
      </c>
      <c r="C142" t="s">
        <v>42</v>
      </c>
      <c r="D142" t="s">
        <v>20</v>
      </c>
      <c r="E142">
        <v>500</v>
      </c>
      <c r="F142">
        <v>2</v>
      </c>
      <c r="G142">
        <v>1000</v>
      </c>
      <c r="H142" t="s">
        <v>25</v>
      </c>
      <c r="I142" t="s">
        <v>44</v>
      </c>
      <c r="J142" t="s">
        <v>39</v>
      </c>
      <c r="K142" t="s">
        <v>40</v>
      </c>
      <c r="L142" s="1" t="str">
        <f t="shared" si="16"/>
        <v>March</v>
      </c>
      <c r="M142" s="3">
        <f t="shared" si="17"/>
        <v>3</v>
      </c>
      <c r="N142" t="str">
        <f t="shared" si="18"/>
        <v>Q1</v>
      </c>
      <c r="O142" t="str">
        <f t="shared" si="19"/>
        <v>Low (&lt;2K)</v>
      </c>
      <c r="P142" t="str">
        <f t="shared" si="20"/>
        <v>Small (1-2)</v>
      </c>
      <c r="Q142">
        <f t="shared" si="21"/>
        <v>1</v>
      </c>
      <c r="R142">
        <f t="shared" si="22"/>
        <v>0</v>
      </c>
      <c r="S142">
        <f t="shared" si="23"/>
        <v>0</v>
      </c>
    </row>
    <row r="143" spans="1:19" x14ac:dyDescent="0.3">
      <c r="A143" t="s">
        <v>195</v>
      </c>
      <c r="B143" s="1">
        <v>45731</v>
      </c>
      <c r="C143" t="s">
        <v>42</v>
      </c>
      <c r="D143" t="s">
        <v>20</v>
      </c>
      <c r="E143">
        <v>500</v>
      </c>
      <c r="F143">
        <v>3</v>
      </c>
      <c r="G143">
        <v>1500</v>
      </c>
      <c r="H143" t="s">
        <v>43</v>
      </c>
      <c r="I143" t="s">
        <v>44</v>
      </c>
      <c r="J143" t="s">
        <v>58</v>
      </c>
      <c r="K143" t="s">
        <v>40</v>
      </c>
      <c r="L143" s="1" t="str">
        <f t="shared" si="16"/>
        <v>March</v>
      </c>
      <c r="M143" s="3">
        <f t="shared" si="17"/>
        <v>3</v>
      </c>
      <c r="N143" t="str">
        <f t="shared" si="18"/>
        <v>Q1</v>
      </c>
      <c r="O143" t="str">
        <f t="shared" si="19"/>
        <v>Low (&lt;2K)</v>
      </c>
      <c r="P143" t="str">
        <f t="shared" si="20"/>
        <v>Medium (3-4)</v>
      </c>
      <c r="Q143">
        <f t="shared" si="21"/>
        <v>1</v>
      </c>
      <c r="R143">
        <f t="shared" si="22"/>
        <v>0</v>
      </c>
      <c r="S143">
        <f t="shared" si="23"/>
        <v>0</v>
      </c>
    </row>
    <row r="144" spans="1:19" x14ac:dyDescent="0.3">
      <c r="A144" t="s">
        <v>196</v>
      </c>
      <c r="B144" s="1">
        <v>45747</v>
      </c>
      <c r="C144" t="s">
        <v>65</v>
      </c>
      <c r="D144" t="s">
        <v>61</v>
      </c>
      <c r="E144">
        <v>1200</v>
      </c>
      <c r="F144">
        <v>2</v>
      </c>
      <c r="G144">
        <v>2400</v>
      </c>
      <c r="H144" t="s">
        <v>80</v>
      </c>
      <c r="I144" t="s">
        <v>30</v>
      </c>
      <c r="J144" t="s">
        <v>39</v>
      </c>
      <c r="K144" t="s">
        <v>17</v>
      </c>
      <c r="L144" s="1" t="str">
        <f t="shared" si="16"/>
        <v>March</v>
      </c>
      <c r="M144" s="3">
        <f t="shared" si="17"/>
        <v>3</v>
      </c>
      <c r="N144" t="str">
        <f t="shared" si="18"/>
        <v>Q1</v>
      </c>
      <c r="O144" t="str">
        <f t="shared" si="19"/>
        <v>Mid (2K-5K)</v>
      </c>
      <c r="P144" t="str">
        <f t="shared" si="20"/>
        <v>Small (1-2)</v>
      </c>
      <c r="Q144">
        <f t="shared" si="21"/>
        <v>0</v>
      </c>
      <c r="R144">
        <f t="shared" si="22"/>
        <v>1</v>
      </c>
      <c r="S144">
        <f t="shared" si="23"/>
        <v>2400</v>
      </c>
    </row>
    <row r="145" spans="1:19" x14ac:dyDescent="0.3">
      <c r="A145" t="s">
        <v>197</v>
      </c>
      <c r="B145" s="1">
        <v>45715</v>
      </c>
      <c r="C145" t="s">
        <v>53</v>
      </c>
      <c r="D145" t="s">
        <v>36</v>
      </c>
      <c r="E145">
        <v>40</v>
      </c>
      <c r="F145">
        <v>2</v>
      </c>
      <c r="G145">
        <v>80</v>
      </c>
      <c r="H145" t="s">
        <v>54</v>
      </c>
      <c r="I145" t="s">
        <v>68</v>
      </c>
      <c r="J145" t="s">
        <v>58</v>
      </c>
      <c r="K145" t="s">
        <v>17</v>
      </c>
      <c r="L145" s="1" t="str">
        <f t="shared" si="16"/>
        <v>February</v>
      </c>
      <c r="M145" s="3">
        <f t="shared" si="17"/>
        <v>2</v>
      </c>
      <c r="N145" t="str">
        <f t="shared" si="18"/>
        <v>Q1</v>
      </c>
      <c r="O145" t="str">
        <f t="shared" si="19"/>
        <v>Low (&lt;2K)</v>
      </c>
      <c r="P145" t="str">
        <f t="shared" si="20"/>
        <v>Small (1-2)</v>
      </c>
      <c r="Q145">
        <f t="shared" si="21"/>
        <v>0</v>
      </c>
      <c r="R145">
        <f t="shared" si="22"/>
        <v>1</v>
      </c>
      <c r="S145">
        <f t="shared" si="23"/>
        <v>80</v>
      </c>
    </row>
    <row r="146" spans="1:19" x14ac:dyDescent="0.3">
      <c r="A146" t="s">
        <v>198</v>
      </c>
      <c r="B146" s="1">
        <v>45724</v>
      </c>
      <c r="C146" t="s">
        <v>33</v>
      </c>
      <c r="D146" t="s">
        <v>20</v>
      </c>
      <c r="E146">
        <v>150</v>
      </c>
      <c r="F146">
        <v>2</v>
      </c>
      <c r="G146">
        <v>300</v>
      </c>
      <c r="H146" t="s">
        <v>54</v>
      </c>
      <c r="I146" t="s">
        <v>63</v>
      </c>
      <c r="J146" t="s">
        <v>16</v>
      </c>
      <c r="K146" t="s">
        <v>17</v>
      </c>
      <c r="L146" s="1" t="str">
        <f t="shared" si="16"/>
        <v>March</v>
      </c>
      <c r="M146" s="3">
        <f t="shared" si="17"/>
        <v>3</v>
      </c>
      <c r="N146" t="str">
        <f t="shared" si="18"/>
        <v>Q1</v>
      </c>
      <c r="O146" t="str">
        <f t="shared" si="19"/>
        <v>Low (&lt;2K)</v>
      </c>
      <c r="P146" t="str">
        <f t="shared" si="20"/>
        <v>Small (1-2)</v>
      </c>
      <c r="Q146">
        <f t="shared" si="21"/>
        <v>0</v>
      </c>
      <c r="R146">
        <f t="shared" si="22"/>
        <v>1</v>
      </c>
      <c r="S146">
        <f t="shared" si="23"/>
        <v>300</v>
      </c>
    </row>
    <row r="147" spans="1:19" x14ac:dyDescent="0.3">
      <c r="A147" t="s">
        <v>199</v>
      </c>
      <c r="B147" s="1">
        <v>45741</v>
      </c>
      <c r="C147" t="s">
        <v>33</v>
      </c>
      <c r="D147" t="s">
        <v>20</v>
      </c>
      <c r="E147">
        <v>150</v>
      </c>
      <c r="F147">
        <v>2</v>
      </c>
      <c r="G147">
        <v>300</v>
      </c>
      <c r="H147" t="s">
        <v>14</v>
      </c>
      <c r="I147" t="s">
        <v>46</v>
      </c>
      <c r="J147" t="s">
        <v>16</v>
      </c>
      <c r="K147" t="s">
        <v>40</v>
      </c>
      <c r="L147" s="1" t="str">
        <f t="shared" si="16"/>
        <v>March</v>
      </c>
      <c r="M147" s="3">
        <f t="shared" si="17"/>
        <v>3</v>
      </c>
      <c r="N147" t="str">
        <f t="shared" si="18"/>
        <v>Q1</v>
      </c>
      <c r="O147" t="str">
        <f t="shared" si="19"/>
        <v>Low (&lt;2K)</v>
      </c>
      <c r="P147" t="str">
        <f t="shared" si="20"/>
        <v>Small (1-2)</v>
      </c>
      <c r="Q147">
        <f t="shared" si="21"/>
        <v>1</v>
      </c>
      <c r="R147">
        <f t="shared" si="22"/>
        <v>0</v>
      </c>
      <c r="S147">
        <f t="shared" si="23"/>
        <v>0</v>
      </c>
    </row>
    <row r="148" spans="1:19" x14ac:dyDescent="0.3">
      <c r="A148" t="s">
        <v>200</v>
      </c>
      <c r="B148" s="1">
        <v>45693</v>
      </c>
      <c r="C148" t="s">
        <v>12</v>
      </c>
      <c r="D148" t="s">
        <v>13</v>
      </c>
      <c r="E148">
        <v>60</v>
      </c>
      <c r="F148">
        <v>5</v>
      </c>
      <c r="G148">
        <v>300</v>
      </c>
      <c r="H148" t="s">
        <v>80</v>
      </c>
      <c r="I148" t="s">
        <v>30</v>
      </c>
      <c r="J148" t="s">
        <v>39</v>
      </c>
      <c r="K148" t="s">
        <v>23</v>
      </c>
      <c r="L148" s="1" t="str">
        <f t="shared" si="16"/>
        <v>February</v>
      </c>
      <c r="M148" s="3">
        <f t="shared" si="17"/>
        <v>2</v>
      </c>
      <c r="N148" t="str">
        <f t="shared" si="18"/>
        <v>Q1</v>
      </c>
      <c r="O148" t="str">
        <f t="shared" si="19"/>
        <v>Low (&lt;2K)</v>
      </c>
      <c r="P148" t="str">
        <f t="shared" si="20"/>
        <v>Bulk (5+)</v>
      </c>
      <c r="Q148">
        <f t="shared" si="21"/>
        <v>0</v>
      </c>
      <c r="R148">
        <f t="shared" si="22"/>
        <v>0</v>
      </c>
      <c r="S148">
        <f t="shared" si="23"/>
        <v>0</v>
      </c>
    </row>
    <row r="149" spans="1:19" x14ac:dyDescent="0.3">
      <c r="A149" t="s">
        <v>201</v>
      </c>
      <c r="B149" s="1">
        <v>45694</v>
      </c>
      <c r="C149" t="s">
        <v>19</v>
      </c>
      <c r="D149" t="s">
        <v>20</v>
      </c>
      <c r="E149">
        <v>100</v>
      </c>
      <c r="F149">
        <v>4</v>
      </c>
      <c r="G149">
        <v>400</v>
      </c>
      <c r="H149" t="s">
        <v>21</v>
      </c>
      <c r="I149" t="s">
        <v>68</v>
      </c>
      <c r="J149" t="s">
        <v>27</v>
      </c>
      <c r="K149" t="s">
        <v>17</v>
      </c>
      <c r="L149" s="1" t="str">
        <f t="shared" si="16"/>
        <v>February</v>
      </c>
      <c r="M149" s="3">
        <f t="shared" si="17"/>
        <v>2</v>
      </c>
      <c r="N149" t="str">
        <f t="shared" si="18"/>
        <v>Q1</v>
      </c>
      <c r="O149" t="str">
        <f t="shared" si="19"/>
        <v>Low (&lt;2K)</v>
      </c>
      <c r="P149" t="str">
        <f t="shared" si="20"/>
        <v>Medium (3-4)</v>
      </c>
      <c r="Q149">
        <f t="shared" si="21"/>
        <v>0</v>
      </c>
      <c r="R149">
        <f t="shared" si="22"/>
        <v>1</v>
      </c>
      <c r="S149">
        <f t="shared" si="23"/>
        <v>400</v>
      </c>
    </row>
    <row r="150" spans="1:19" x14ac:dyDescent="0.3">
      <c r="A150" t="s">
        <v>202</v>
      </c>
      <c r="B150" s="1">
        <v>45736</v>
      </c>
      <c r="C150" t="s">
        <v>12</v>
      </c>
      <c r="D150" t="s">
        <v>13</v>
      </c>
      <c r="E150">
        <v>60</v>
      </c>
      <c r="F150">
        <v>3</v>
      </c>
      <c r="G150">
        <v>180</v>
      </c>
      <c r="H150" t="s">
        <v>54</v>
      </c>
      <c r="I150" t="s">
        <v>15</v>
      </c>
      <c r="J150" t="s">
        <v>58</v>
      </c>
      <c r="K150" t="s">
        <v>23</v>
      </c>
      <c r="L150" s="1" t="str">
        <f t="shared" si="16"/>
        <v>March</v>
      </c>
      <c r="M150" s="3">
        <f t="shared" si="17"/>
        <v>3</v>
      </c>
      <c r="N150" t="str">
        <f t="shared" si="18"/>
        <v>Q1</v>
      </c>
      <c r="O150" t="str">
        <f t="shared" si="19"/>
        <v>Low (&lt;2K)</v>
      </c>
      <c r="P150" t="str">
        <f t="shared" si="20"/>
        <v>Medium (3-4)</v>
      </c>
      <c r="Q150">
        <f t="shared" si="21"/>
        <v>0</v>
      </c>
      <c r="R150">
        <f t="shared" si="22"/>
        <v>0</v>
      </c>
      <c r="S150">
        <f t="shared" si="23"/>
        <v>0</v>
      </c>
    </row>
    <row r="151" spans="1:19" x14ac:dyDescent="0.3">
      <c r="A151" t="s">
        <v>203</v>
      </c>
      <c r="B151" s="1">
        <v>45696</v>
      </c>
      <c r="C151" t="s">
        <v>49</v>
      </c>
      <c r="D151" t="s">
        <v>50</v>
      </c>
      <c r="E151">
        <v>15</v>
      </c>
      <c r="F151">
        <v>4</v>
      </c>
      <c r="G151">
        <v>60</v>
      </c>
      <c r="H151" t="s">
        <v>57</v>
      </c>
      <c r="I151" t="s">
        <v>81</v>
      </c>
      <c r="J151" t="s">
        <v>58</v>
      </c>
      <c r="K151" t="s">
        <v>17</v>
      </c>
      <c r="L151" s="1" t="str">
        <f t="shared" si="16"/>
        <v>February</v>
      </c>
      <c r="M151" s="3">
        <f t="shared" si="17"/>
        <v>2</v>
      </c>
      <c r="N151" t="str">
        <f t="shared" si="18"/>
        <v>Q1</v>
      </c>
      <c r="O151" t="str">
        <f t="shared" si="19"/>
        <v>Low (&lt;2K)</v>
      </c>
      <c r="P151" t="str">
        <f t="shared" si="20"/>
        <v>Medium (3-4)</v>
      </c>
      <c r="Q151">
        <f t="shared" si="21"/>
        <v>0</v>
      </c>
      <c r="R151">
        <f t="shared" si="22"/>
        <v>1</v>
      </c>
      <c r="S151">
        <f t="shared" si="23"/>
        <v>60</v>
      </c>
    </row>
    <row r="152" spans="1:19" x14ac:dyDescent="0.3">
      <c r="A152" t="s">
        <v>204</v>
      </c>
      <c r="B152" s="1">
        <v>45745</v>
      </c>
      <c r="C152" t="s">
        <v>60</v>
      </c>
      <c r="D152" t="s">
        <v>61</v>
      </c>
      <c r="E152">
        <v>600</v>
      </c>
      <c r="F152">
        <v>4</v>
      </c>
      <c r="G152">
        <v>2400</v>
      </c>
      <c r="H152" t="s">
        <v>80</v>
      </c>
      <c r="I152" t="s">
        <v>68</v>
      </c>
      <c r="J152" t="s">
        <v>27</v>
      </c>
      <c r="K152" t="s">
        <v>23</v>
      </c>
      <c r="L152" s="1" t="str">
        <f t="shared" si="16"/>
        <v>March</v>
      </c>
      <c r="M152" s="3">
        <f t="shared" si="17"/>
        <v>3</v>
      </c>
      <c r="N152" t="str">
        <f t="shared" si="18"/>
        <v>Q1</v>
      </c>
      <c r="O152" t="str">
        <f t="shared" si="19"/>
        <v>Mid (2K-5K)</v>
      </c>
      <c r="P152" t="str">
        <f t="shared" si="20"/>
        <v>Medium (3-4)</v>
      </c>
      <c r="Q152">
        <f t="shared" si="21"/>
        <v>0</v>
      </c>
      <c r="R152">
        <f t="shared" si="22"/>
        <v>0</v>
      </c>
      <c r="S152">
        <f t="shared" si="23"/>
        <v>0</v>
      </c>
    </row>
    <row r="153" spans="1:19" x14ac:dyDescent="0.3">
      <c r="A153" t="s">
        <v>205</v>
      </c>
      <c r="B153" s="1">
        <v>45716</v>
      </c>
      <c r="C153" t="s">
        <v>33</v>
      </c>
      <c r="D153" t="s">
        <v>20</v>
      </c>
      <c r="E153">
        <v>150</v>
      </c>
      <c r="F153">
        <v>1</v>
      </c>
      <c r="G153">
        <v>150</v>
      </c>
      <c r="H153" t="s">
        <v>25</v>
      </c>
      <c r="I153" t="s">
        <v>63</v>
      </c>
      <c r="J153" t="s">
        <v>58</v>
      </c>
      <c r="K153" t="s">
        <v>40</v>
      </c>
      <c r="L153" s="1" t="str">
        <f t="shared" si="16"/>
        <v>February</v>
      </c>
      <c r="M153" s="3">
        <f t="shared" si="17"/>
        <v>2</v>
      </c>
      <c r="N153" t="str">
        <f t="shared" si="18"/>
        <v>Q1</v>
      </c>
      <c r="O153" t="str">
        <f t="shared" si="19"/>
        <v>Low (&lt;2K)</v>
      </c>
      <c r="P153" t="str">
        <f t="shared" si="20"/>
        <v>Small (1-2)</v>
      </c>
      <c r="Q153">
        <f t="shared" si="21"/>
        <v>1</v>
      </c>
      <c r="R153">
        <f t="shared" si="22"/>
        <v>0</v>
      </c>
      <c r="S153">
        <f t="shared" si="23"/>
        <v>0</v>
      </c>
    </row>
    <row r="154" spans="1:19" x14ac:dyDescent="0.3">
      <c r="A154" t="s">
        <v>206</v>
      </c>
      <c r="B154" s="1">
        <v>45711</v>
      </c>
      <c r="C154" t="s">
        <v>33</v>
      </c>
      <c r="D154" t="s">
        <v>20</v>
      </c>
      <c r="E154">
        <v>150</v>
      </c>
      <c r="F154">
        <v>5</v>
      </c>
      <c r="G154">
        <v>750</v>
      </c>
      <c r="H154" t="s">
        <v>43</v>
      </c>
      <c r="I154" t="s">
        <v>22</v>
      </c>
      <c r="J154" t="s">
        <v>39</v>
      </c>
      <c r="K154" t="s">
        <v>23</v>
      </c>
      <c r="L154" s="1" t="str">
        <f t="shared" si="16"/>
        <v>February</v>
      </c>
      <c r="M154" s="3">
        <f t="shared" si="17"/>
        <v>2</v>
      </c>
      <c r="N154" t="str">
        <f t="shared" si="18"/>
        <v>Q1</v>
      </c>
      <c r="O154" t="str">
        <f t="shared" si="19"/>
        <v>Low (&lt;2K)</v>
      </c>
      <c r="P154" t="str">
        <f t="shared" si="20"/>
        <v>Bulk (5+)</v>
      </c>
      <c r="Q154">
        <f t="shared" si="21"/>
        <v>0</v>
      </c>
      <c r="R154">
        <f t="shared" si="22"/>
        <v>0</v>
      </c>
      <c r="S154">
        <f t="shared" si="23"/>
        <v>0</v>
      </c>
    </row>
    <row r="155" spans="1:19" x14ac:dyDescent="0.3">
      <c r="A155" t="s">
        <v>207</v>
      </c>
      <c r="B155" s="1">
        <v>45717</v>
      </c>
      <c r="C155" t="s">
        <v>19</v>
      </c>
      <c r="D155" t="s">
        <v>20</v>
      </c>
      <c r="E155">
        <v>100</v>
      </c>
      <c r="F155">
        <v>2</v>
      </c>
      <c r="G155">
        <v>200</v>
      </c>
      <c r="H155" t="s">
        <v>25</v>
      </c>
      <c r="I155" t="s">
        <v>26</v>
      </c>
      <c r="J155" t="s">
        <v>16</v>
      </c>
      <c r="K155" t="s">
        <v>40</v>
      </c>
      <c r="L155" s="1" t="str">
        <f t="shared" si="16"/>
        <v>March</v>
      </c>
      <c r="M155" s="3">
        <f t="shared" si="17"/>
        <v>3</v>
      </c>
      <c r="N155" t="str">
        <f t="shared" si="18"/>
        <v>Q1</v>
      </c>
      <c r="O155" t="str">
        <f t="shared" si="19"/>
        <v>Low (&lt;2K)</v>
      </c>
      <c r="P155" t="str">
        <f t="shared" si="20"/>
        <v>Small (1-2)</v>
      </c>
      <c r="Q155">
        <f t="shared" si="21"/>
        <v>1</v>
      </c>
      <c r="R155">
        <f t="shared" si="22"/>
        <v>0</v>
      </c>
      <c r="S155">
        <f t="shared" si="23"/>
        <v>0</v>
      </c>
    </row>
    <row r="156" spans="1:19" x14ac:dyDescent="0.3">
      <c r="A156" t="s">
        <v>208</v>
      </c>
      <c r="B156" s="1">
        <v>45693</v>
      </c>
      <c r="C156" t="s">
        <v>65</v>
      </c>
      <c r="D156" t="s">
        <v>61</v>
      </c>
      <c r="E156">
        <v>1200</v>
      </c>
      <c r="F156">
        <v>4</v>
      </c>
      <c r="G156">
        <v>4800</v>
      </c>
      <c r="H156" t="s">
        <v>43</v>
      </c>
      <c r="I156" t="s">
        <v>63</v>
      </c>
      <c r="J156" t="s">
        <v>31</v>
      </c>
      <c r="K156" t="s">
        <v>23</v>
      </c>
      <c r="L156" s="1" t="str">
        <f t="shared" si="16"/>
        <v>February</v>
      </c>
      <c r="M156" s="3">
        <f t="shared" si="17"/>
        <v>2</v>
      </c>
      <c r="N156" t="str">
        <f t="shared" si="18"/>
        <v>Q1</v>
      </c>
      <c r="O156" t="str">
        <f t="shared" si="19"/>
        <v>Mid (2K-5K)</v>
      </c>
      <c r="P156" t="str">
        <f t="shared" si="20"/>
        <v>Medium (3-4)</v>
      </c>
      <c r="Q156">
        <f t="shared" si="21"/>
        <v>0</v>
      </c>
      <c r="R156">
        <f t="shared" si="22"/>
        <v>0</v>
      </c>
      <c r="S156">
        <f t="shared" si="23"/>
        <v>0</v>
      </c>
    </row>
    <row r="157" spans="1:19" x14ac:dyDescent="0.3">
      <c r="A157" t="s">
        <v>209</v>
      </c>
      <c r="B157" s="1">
        <v>45732</v>
      </c>
      <c r="C157" t="s">
        <v>33</v>
      </c>
      <c r="D157" t="s">
        <v>20</v>
      </c>
      <c r="E157">
        <v>150</v>
      </c>
      <c r="F157">
        <v>4</v>
      </c>
      <c r="G157">
        <v>600</v>
      </c>
      <c r="H157" t="s">
        <v>29</v>
      </c>
      <c r="I157" t="s">
        <v>44</v>
      </c>
      <c r="J157" t="s">
        <v>39</v>
      </c>
      <c r="K157" t="s">
        <v>17</v>
      </c>
      <c r="L157" s="1" t="str">
        <f t="shared" si="16"/>
        <v>March</v>
      </c>
      <c r="M157" s="3">
        <f t="shared" si="17"/>
        <v>3</v>
      </c>
      <c r="N157" t="str">
        <f t="shared" si="18"/>
        <v>Q1</v>
      </c>
      <c r="O157" t="str">
        <f t="shared" si="19"/>
        <v>Low (&lt;2K)</v>
      </c>
      <c r="P157" t="str">
        <f t="shared" si="20"/>
        <v>Medium (3-4)</v>
      </c>
      <c r="Q157">
        <f t="shared" si="21"/>
        <v>0</v>
      </c>
      <c r="R157">
        <f t="shared" si="22"/>
        <v>1</v>
      </c>
      <c r="S157">
        <f t="shared" si="23"/>
        <v>600</v>
      </c>
    </row>
    <row r="158" spans="1:19" x14ac:dyDescent="0.3">
      <c r="A158" t="s">
        <v>210</v>
      </c>
      <c r="B158" s="1">
        <v>45696</v>
      </c>
      <c r="C158" t="s">
        <v>42</v>
      </c>
      <c r="D158" t="s">
        <v>20</v>
      </c>
      <c r="E158">
        <v>500</v>
      </c>
      <c r="F158">
        <v>3</v>
      </c>
      <c r="G158">
        <v>1500</v>
      </c>
      <c r="H158" t="s">
        <v>43</v>
      </c>
      <c r="I158" t="s">
        <v>26</v>
      </c>
      <c r="J158" t="s">
        <v>31</v>
      </c>
      <c r="K158" t="s">
        <v>23</v>
      </c>
      <c r="L158" s="1" t="str">
        <f t="shared" si="16"/>
        <v>February</v>
      </c>
      <c r="M158" s="3">
        <f t="shared" si="17"/>
        <v>2</v>
      </c>
      <c r="N158" t="str">
        <f t="shared" si="18"/>
        <v>Q1</v>
      </c>
      <c r="O158" t="str">
        <f t="shared" si="19"/>
        <v>Low (&lt;2K)</v>
      </c>
      <c r="P158" t="str">
        <f t="shared" si="20"/>
        <v>Medium (3-4)</v>
      </c>
      <c r="Q158">
        <f t="shared" si="21"/>
        <v>0</v>
      </c>
      <c r="R158">
        <f t="shared" si="22"/>
        <v>0</v>
      </c>
      <c r="S158">
        <f t="shared" si="23"/>
        <v>0</v>
      </c>
    </row>
    <row r="159" spans="1:19" x14ac:dyDescent="0.3">
      <c r="A159" t="s">
        <v>211</v>
      </c>
      <c r="B159" s="1">
        <v>45712</v>
      </c>
      <c r="C159" t="s">
        <v>56</v>
      </c>
      <c r="D159" t="s">
        <v>20</v>
      </c>
      <c r="E159">
        <v>800</v>
      </c>
      <c r="F159">
        <v>3</v>
      </c>
      <c r="G159">
        <v>2400</v>
      </c>
      <c r="H159" t="s">
        <v>72</v>
      </c>
      <c r="I159" t="s">
        <v>44</v>
      </c>
      <c r="J159" t="s">
        <v>16</v>
      </c>
      <c r="K159" t="s">
        <v>23</v>
      </c>
      <c r="L159" s="1" t="str">
        <f t="shared" si="16"/>
        <v>February</v>
      </c>
      <c r="M159" s="3">
        <f t="shared" si="17"/>
        <v>2</v>
      </c>
      <c r="N159" t="str">
        <f t="shared" si="18"/>
        <v>Q1</v>
      </c>
      <c r="O159" t="str">
        <f t="shared" si="19"/>
        <v>Mid (2K-5K)</v>
      </c>
      <c r="P159" t="str">
        <f t="shared" si="20"/>
        <v>Medium (3-4)</v>
      </c>
      <c r="Q159">
        <f t="shared" si="21"/>
        <v>0</v>
      </c>
      <c r="R159">
        <f t="shared" si="22"/>
        <v>0</v>
      </c>
      <c r="S159">
        <f t="shared" si="23"/>
        <v>0</v>
      </c>
    </row>
    <row r="160" spans="1:19" x14ac:dyDescent="0.3">
      <c r="A160" t="s">
        <v>212</v>
      </c>
      <c r="B160" s="1">
        <v>45704</v>
      </c>
      <c r="C160" t="s">
        <v>35</v>
      </c>
      <c r="D160" t="s">
        <v>36</v>
      </c>
      <c r="E160">
        <v>20</v>
      </c>
      <c r="F160">
        <v>2</v>
      </c>
      <c r="G160">
        <v>40</v>
      </c>
      <c r="H160" t="s">
        <v>51</v>
      </c>
      <c r="I160" t="s">
        <v>30</v>
      </c>
      <c r="J160" t="s">
        <v>58</v>
      </c>
      <c r="K160" t="s">
        <v>17</v>
      </c>
      <c r="L160" s="1" t="str">
        <f t="shared" si="16"/>
        <v>February</v>
      </c>
      <c r="M160" s="3">
        <f t="shared" si="17"/>
        <v>2</v>
      </c>
      <c r="N160" t="str">
        <f t="shared" si="18"/>
        <v>Q1</v>
      </c>
      <c r="O160" t="str">
        <f t="shared" si="19"/>
        <v>Low (&lt;2K)</v>
      </c>
      <c r="P160" t="str">
        <f t="shared" si="20"/>
        <v>Small (1-2)</v>
      </c>
      <c r="Q160">
        <f t="shared" si="21"/>
        <v>0</v>
      </c>
      <c r="R160">
        <f t="shared" si="22"/>
        <v>1</v>
      </c>
      <c r="S160">
        <f t="shared" si="23"/>
        <v>40</v>
      </c>
    </row>
    <row r="161" spans="1:19" x14ac:dyDescent="0.3">
      <c r="A161" t="s">
        <v>213</v>
      </c>
      <c r="B161" s="1">
        <v>45694</v>
      </c>
      <c r="C161" t="s">
        <v>60</v>
      </c>
      <c r="D161" t="s">
        <v>61</v>
      </c>
      <c r="E161">
        <v>600</v>
      </c>
      <c r="F161">
        <v>3</v>
      </c>
      <c r="G161">
        <v>1800</v>
      </c>
      <c r="H161" t="s">
        <v>29</v>
      </c>
      <c r="I161" t="s">
        <v>26</v>
      </c>
      <c r="J161" t="s">
        <v>58</v>
      </c>
      <c r="K161" t="s">
        <v>17</v>
      </c>
      <c r="L161" s="1" t="str">
        <f t="shared" si="16"/>
        <v>February</v>
      </c>
      <c r="M161" s="3">
        <f t="shared" si="17"/>
        <v>2</v>
      </c>
      <c r="N161" t="str">
        <f t="shared" si="18"/>
        <v>Q1</v>
      </c>
      <c r="O161" t="str">
        <f t="shared" si="19"/>
        <v>Low (&lt;2K)</v>
      </c>
      <c r="P161" t="str">
        <f t="shared" si="20"/>
        <v>Medium (3-4)</v>
      </c>
      <c r="Q161">
        <f t="shared" si="21"/>
        <v>0</v>
      </c>
      <c r="R161">
        <f t="shared" si="22"/>
        <v>1</v>
      </c>
      <c r="S161">
        <f t="shared" si="23"/>
        <v>1800</v>
      </c>
    </row>
    <row r="162" spans="1:19" x14ac:dyDescent="0.3">
      <c r="A162" t="s">
        <v>214</v>
      </c>
      <c r="B162" s="1">
        <v>45710</v>
      </c>
      <c r="C162" t="s">
        <v>19</v>
      </c>
      <c r="D162" t="s">
        <v>20</v>
      </c>
      <c r="E162">
        <v>100</v>
      </c>
      <c r="F162">
        <v>1</v>
      </c>
      <c r="G162">
        <v>100</v>
      </c>
      <c r="H162" t="s">
        <v>21</v>
      </c>
      <c r="I162" t="s">
        <v>68</v>
      </c>
      <c r="J162" t="s">
        <v>31</v>
      </c>
      <c r="K162" t="s">
        <v>40</v>
      </c>
      <c r="L162" s="1" t="str">
        <f t="shared" si="16"/>
        <v>February</v>
      </c>
      <c r="M162" s="3">
        <f t="shared" si="17"/>
        <v>2</v>
      </c>
      <c r="N162" t="str">
        <f t="shared" si="18"/>
        <v>Q1</v>
      </c>
      <c r="O162" t="str">
        <f t="shared" si="19"/>
        <v>Low (&lt;2K)</v>
      </c>
      <c r="P162" t="str">
        <f t="shared" si="20"/>
        <v>Small (1-2)</v>
      </c>
      <c r="Q162">
        <f t="shared" si="21"/>
        <v>1</v>
      </c>
      <c r="R162">
        <f t="shared" si="22"/>
        <v>0</v>
      </c>
      <c r="S162">
        <f t="shared" si="23"/>
        <v>0</v>
      </c>
    </row>
    <row r="163" spans="1:19" x14ac:dyDescent="0.3">
      <c r="A163" t="s">
        <v>215</v>
      </c>
      <c r="B163" s="1">
        <v>45697</v>
      </c>
      <c r="C163" t="s">
        <v>42</v>
      </c>
      <c r="D163" t="s">
        <v>20</v>
      </c>
      <c r="E163">
        <v>500</v>
      </c>
      <c r="F163">
        <v>2</v>
      </c>
      <c r="G163">
        <v>1000</v>
      </c>
      <c r="H163" t="s">
        <v>29</v>
      </c>
      <c r="I163" t="s">
        <v>81</v>
      </c>
      <c r="J163" t="s">
        <v>31</v>
      </c>
      <c r="K163" t="s">
        <v>40</v>
      </c>
      <c r="L163" s="1" t="str">
        <f t="shared" si="16"/>
        <v>February</v>
      </c>
      <c r="M163" s="3">
        <f t="shared" si="17"/>
        <v>2</v>
      </c>
      <c r="N163" t="str">
        <f t="shared" si="18"/>
        <v>Q1</v>
      </c>
      <c r="O163" t="str">
        <f t="shared" si="19"/>
        <v>Low (&lt;2K)</v>
      </c>
      <c r="P163" t="str">
        <f t="shared" si="20"/>
        <v>Small (1-2)</v>
      </c>
      <c r="Q163">
        <f t="shared" si="21"/>
        <v>1</v>
      </c>
      <c r="R163">
        <f t="shared" si="22"/>
        <v>0</v>
      </c>
      <c r="S163">
        <f t="shared" si="23"/>
        <v>0</v>
      </c>
    </row>
    <row r="164" spans="1:19" x14ac:dyDescent="0.3">
      <c r="A164" t="s">
        <v>216</v>
      </c>
      <c r="B164" s="1">
        <v>45708</v>
      </c>
      <c r="C164" t="s">
        <v>12</v>
      </c>
      <c r="D164" t="s">
        <v>13</v>
      </c>
      <c r="E164">
        <v>60</v>
      </c>
      <c r="F164">
        <v>2</v>
      </c>
      <c r="G164">
        <v>120</v>
      </c>
      <c r="H164" t="s">
        <v>72</v>
      </c>
      <c r="I164" t="s">
        <v>38</v>
      </c>
      <c r="J164" t="s">
        <v>39</v>
      </c>
      <c r="K164" t="s">
        <v>40</v>
      </c>
      <c r="L164" s="1" t="str">
        <f t="shared" si="16"/>
        <v>February</v>
      </c>
      <c r="M164" s="3">
        <f t="shared" si="17"/>
        <v>2</v>
      </c>
      <c r="N164" t="str">
        <f t="shared" si="18"/>
        <v>Q1</v>
      </c>
      <c r="O164" t="str">
        <f t="shared" si="19"/>
        <v>Low (&lt;2K)</v>
      </c>
      <c r="P164" t="str">
        <f t="shared" si="20"/>
        <v>Small (1-2)</v>
      </c>
      <c r="Q164">
        <f t="shared" si="21"/>
        <v>1</v>
      </c>
      <c r="R164">
        <f t="shared" si="22"/>
        <v>0</v>
      </c>
      <c r="S164">
        <f t="shared" si="23"/>
        <v>0</v>
      </c>
    </row>
    <row r="165" spans="1:19" x14ac:dyDescent="0.3">
      <c r="A165" t="s">
        <v>217</v>
      </c>
      <c r="B165" s="1">
        <v>45713</v>
      </c>
      <c r="C165" t="s">
        <v>33</v>
      </c>
      <c r="D165" t="s">
        <v>20</v>
      </c>
      <c r="E165">
        <v>150</v>
      </c>
      <c r="F165">
        <v>5</v>
      </c>
      <c r="G165">
        <v>750</v>
      </c>
      <c r="H165" t="s">
        <v>54</v>
      </c>
      <c r="I165" t="s">
        <v>46</v>
      </c>
      <c r="J165" t="s">
        <v>16</v>
      </c>
      <c r="K165" t="s">
        <v>23</v>
      </c>
      <c r="L165" s="1" t="str">
        <f t="shared" si="16"/>
        <v>February</v>
      </c>
      <c r="M165" s="3">
        <f t="shared" si="17"/>
        <v>2</v>
      </c>
      <c r="N165" t="str">
        <f t="shared" si="18"/>
        <v>Q1</v>
      </c>
      <c r="O165" t="str">
        <f t="shared" si="19"/>
        <v>Low (&lt;2K)</v>
      </c>
      <c r="P165" t="str">
        <f t="shared" si="20"/>
        <v>Bulk (5+)</v>
      </c>
      <c r="Q165">
        <f t="shared" si="21"/>
        <v>0</v>
      </c>
      <c r="R165">
        <f t="shared" si="22"/>
        <v>0</v>
      </c>
      <c r="S165">
        <f t="shared" si="23"/>
        <v>0</v>
      </c>
    </row>
    <row r="166" spans="1:19" x14ac:dyDescent="0.3">
      <c r="A166" t="s">
        <v>218</v>
      </c>
      <c r="B166" s="1">
        <v>45730</v>
      </c>
      <c r="C166" t="s">
        <v>49</v>
      </c>
      <c r="D166" t="s">
        <v>50</v>
      </c>
      <c r="E166">
        <v>15</v>
      </c>
      <c r="F166">
        <v>1</v>
      </c>
      <c r="G166">
        <v>15</v>
      </c>
      <c r="H166" t="s">
        <v>51</v>
      </c>
      <c r="I166" t="s">
        <v>15</v>
      </c>
      <c r="J166" t="s">
        <v>27</v>
      </c>
      <c r="K166" t="s">
        <v>23</v>
      </c>
      <c r="L166" s="1" t="str">
        <f t="shared" si="16"/>
        <v>March</v>
      </c>
      <c r="M166" s="3">
        <f t="shared" si="17"/>
        <v>3</v>
      </c>
      <c r="N166" t="str">
        <f t="shared" si="18"/>
        <v>Q1</v>
      </c>
      <c r="O166" t="str">
        <f t="shared" si="19"/>
        <v>Low (&lt;2K)</v>
      </c>
      <c r="P166" t="str">
        <f t="shared" si="20"/>
        <v>Small (1-2)</v>
      </c>
      <c r="Q166">
        <f t="shared" si="21"/>
        <v>0</v>
      </c>
      <c r="R166">
        <f t="shared" si="22"/>
        <v>0</v>
      </c>
      <c r="S166">
        <f t="shared" si="23"/>
        <v>0</v>
      </c>
    </row>
    <row r="167" spans="1:19" x14ac:dyDescent="0.3">
      <c r="A167" t="s">
        <v>219</v>
      </c>
      <c r="B167" s="1">
        <v>45746</v>
      </c>
      <c r="C167" t="s">
        <v>60</v>
      </c>
      <c r="D167" t="s">
        <v>61</v>
      </c>
      <c r="E167">
        <v>600</v>
      </c>
      <c r="F167">
        <v>4</v>
      </c>
      <c r="G167">
        <v>2400</v>
      </c>
      <c r="H167" t="s">
        <v>72</v>
      </c>
      <c r="I167" t="s">
        <v>38</v>
      </c>
      <c r="J167" t="s">
        <v>31</v>
      </c>
      <c r="K167" t="s">
        <v>23</v>
      </c>
      <c r="L167" s="1" t="str">
        <f t="shared" si="16"/>
        <v>March</v>
      </c>
      <c r="M167" s="3">
        <f t="shared" si="17"/>
        <v>3</v>
      </c>
      <c r="N167" t="str">
        <f t="shared" si="18"/>
        <v>Q1</v>
      </c>
      <c r="O167" t="str">
        <f t="shared" si="19"/>
        <v>Mid (2K-5K)</v>
      </c>
      <c r="P167" t="str">
        <f t="shared" si="20"/>
        <v>Medium (3-4)</v>
      </c>
      <c r="Q167">
        <f t="shared" si="21"/>
        <v>0</v>
      </c>
      <c r="R167">
        <f t="shared" si="22"/>
        <v>0</v>
      </c>
      <c r="S167">
        <f t="shared" si="23"/>
        <v>0</v>
      </c>
    </row>
    <row r="168" spans="1:19" x14ac:dyDescent="0.3">
      <c r="A168" t="s">
        <v>220</v>
      </c>
      <c r="B168" s="1">
        <v>45736</v>
      </c>
      <c r="C168" t="s">
        <v>65</v>
      </c>
      <c r="D168" t="s">
        <v>61</v>
      </c>
      <c r="E168">
        <v>1200</v>
      </c>
      <c r="F168">
        <v>2</v>
      </c>
      <c r="G168">
        <v>2400</v>
      </c>
      <c r="H168" t="s">
        <v>29</v>
      </c>
      <c r="I168" t="s">
        <v>63</v>
      </c>
      <c r="J168" t="s">
        <v>31</v>
      </c>
      <c r="K168" t="s">
        <v>40</v>
      </c>
      <c r="L168" s="1" t="str">
        <f t="shared" si="16"/>
        <v>March</v>
      </c>
      <c r="M168" s="3">
        <f t="shared" si="17"/>
        <v>3</v>
      </c>
      <c r="N168" t="str">
        <f t="shared" si="18"/>
        <v>Q1</v>
      </c>
      <c r="O168" t="str">
        <f t="shared" si="19"/>
        <v>Mid (2K-5K)</v>
      </c>
      <c r="P168" t="str">
        <f t="shared" si="20"/>
        <v>Small (1-2)</v>
      </c>
      <c r="Q168">
        <f t="shared" si="21"/>
        <v>1</v>
      </c>
      <c r="R168">
        <f t="shared" si="22"/>
        <v>0</v>
      </c>
      <c r="S168">
        <f t="shared" si="23"/>
        <v>0</v>
      </c>
    </row>
    <row r="169" spans="1:19" x14ac:dyDescent="0.3">
      <c r="A169" t="s">
        <v>221</v>
      </c>
      <c r="B169" s="1">
        <v>45740</v>
      </c>
      <c r="C169" t="s">
        <v>56</v>
      </c>
      <c r="D169" t="s">
        <v>20</v>
      </c>
      <c r="E169">
        <v>800</v>
      </c>
      <c r="F169">
        <v>5</v>
      </c>
      <c r="G169">
        <v>4000</v>
      </c>
      <c r="H169" t="s">
        <v>54</v>
      </c>
      <c r="I169" t="s">
        <v>44</v>
      </c>
      <c r="J169" t="s">
        <v>16</v>
      </c>
      <c r="K169" t="s">
        <v>23</v>
      </c>
      <c r="L169" s="1" t="str">
        <f t="shared" si="16"/>
        <v>March</v>
      </c>
      <c r="M169" s="3">
        <f t="shared" si="17"/>
        <v>3</v>
      </c>
      <c r="N169" t="str">
        <f t="shared" si="18"/>
        <v>Q1</v>
      </c>
      <c r="O169" t="str">
        <f t="shared" si="19"/>
        <v>Mid (2K-5K)</v>
      </c>
      <c r="P169" t="str">
        <f t="shared" si="20"/>
        <v>Bulk (5+)</v>
      </c>
      <c r="Q169">
        <f t="shared" si="21"/>
        <v>0</v>
      </c>
      <c r="R169">
        <f t="shared" si="22"/>
        <v>0</v>
      </c>
      <c r="S169">
        <f t="shared" si="23"/>
        <v>0</v>
      </c>
    </row>
    <row r="170" spans="1:19" x14ac:dyDescent="0.3">
      <c r="A170" t="s">
        <v>222</v>
      </c>
      <c r="B170" s="1">
        <v>45722</v>
      </c>
      <c r="C170" t="s">
        <v>65</v>
      </c>
      <c r="D170" t="s">
        <v>61</v>
      </c>
      <c r="E170">
        <v>1200</v>
      </c>
      <c r="F170">
        <v>2</v>
      </c>
      <c r="G170">
        <v>2400</v>
      </c>
      <c r="H170" t="s">
        <v>25</v>
      </c>
      <c r="I170" t="s">
        <v>26</v>
      </c>
      <c r="J170" t="s">
        <v>39</v>
      </c>
      <c r="K170" t="s">
        <v>40</v>
      </c>
      <c r="L170" s="1" t="str">
        <f t="shared" si="16"/>
        <v>March</v>
      </c>
      <c r="M170" s="3">
        <f t="shared" si="17"/>
        <v>3</v>
      </c>
      <c r="N170" t="str">
        <f t="shared" si="18"/>
        <v>Q1</v>
      </c>
      <c r="O170" t="str">
        <f t="shared" si="19"/>
        <v>Mid (2K-5K)</v>
      </c>
      <c r="P170" t="str">
        <f t="shared" si="20"/>
        <v>Small (1-2)</v>
      </c>
      <c r="Q170">
        <f t="shared" si="21"/>
        <v>1</v>
      </c>
      <c r="R170">
        <f t="shared" si="22"/>
        <v>0</v>
      </c>
      <c r="S170">
        <f t="shared" si="23"/>
        <v>0</v>
      </c>
    </row>
    <row r="171" spans="1:19" x14ac:dyDescent="0.3">
      <c r="A171" t="s">
        <v>223</v>
      </c>
      <c r="B171" s="1">
        <v>45716</v>
      </c>
      <c r="C171" t="s">
        <v>56</v>
      </c>
      <c r="D171" t="s">
        <v>20</v>
      </c>
      <c r="E171">
        <v>800</v>
      </c>
      <c r="F171">
        <v>1</v>
      </c>
      <c r="G171">
        <v>800</v>
      </c>
      <c r="H171" t="s">
        <v>14</v>
      </c>
      <c r="I171" t="s">
        <v>22</v>
      </c>
      <c r="J171" t="s">
        <v>58</v>
      </c>
      <c r="K171" t="s">
        <v>23</v>
      </c>
      <c r="L171" s="1" t="str">
        <f t="shared" si="16"/>
        <v>February</v>
      </c>
      <c r="M171" s="3">
        <f t="shared" si="17"/>
        <v>2</v>
      </c>
      <c r="N171" t="str">
        <f t="shared" si="18"/>
        <v>Q1</v>
      </c>
      <c r="O171" t="str">
        <f t="shared" si="19"/>
        <v>Low (&lt;2K)</v>
      </c>
      <c r="P171" t="str">
        <f t="shared" si="20"/>
        <v>Small (1-2)</v>
      </c>
      <c r="Q171">
        <f t="shared" si="21"/>
        <v>0</v>
      </c>
      <c r="R171">
        <f t="shared" si="22"/>
        <v>0</v>
      </c>
      <c r="S171">
        <f t="shared" si="23"/>
        <v>0</v>
      </c>
    </row>
    <row r="172" spans="1:19" x14ac:dyDescent="0.3">
      <c r="A172" t="s">
        <v>224</v>
      </c>
      <c r="B172" s="1">
        <v>45716</v>
      </c>
      <c r="C172" t="s">
        <v>33</v>
      </c>
      <c r="D172" t="s">
        <v>20</v>
      </c>
      <c r="E172">
        <v>150</v>
      </c>
      <c r="F172">
        <v>2</v>
      </c>
      <c r="G172">
        <v>300</v>
      </c>
      <c r="H172" t="s">
        <v>57</v>
      </c>
      <c r="I172" t="s">
        <v>38</v>
      </c>
      <c r="J172" t="s">
        <v>39</v>
      </c>
      <c r="K172" t="s">
        <v>40</v>
      </c>
      <c r="L172" s="1" t="str">
        <f t="shared" si="16"/>
        <v>February</v>
      </c>
      <c r="M172" s="3">
        <f t="shared" si="17"/>
        <v>2</v>
      </c>
      <c r="N172" t="str">
        <f t="shared" si="18"/>
        <v>Q1</v>
      </c>
      <c r="O172" t="str">
        <f t="shared" si="19"/>
        <v>Low (&lt;2K)</v>
      </c>
      <c r="P172" t="str">
        <f t="shared" si="20"/>
        <v>Small (1-2)</v>
      </c>
      <c r="Q172">
        <f t="shared" si="21"/>
        <v>1</v>
      </c>
      <c r="R172">
        <f t="shared" si="22"/>
        <v>0</v>
      </c>
      <c r="S172">
        <f t="shared" si="23"/>
        <v>0</v>
      </c>
    </row>
    <row r="173" spans="1:19" x14ac:dyDescent="0.3">
      <c r="A173" t="s">
        <v>225</v>
      </c>
      <c r="B173" s="1">
        <v>45728</v>
      </c>
      <c r="C173" t="s">
        <v>49</v>
      </c>
      <c r="D173" t="s">
        <v>50</v>
      </c>
      <c r="E173">
        <v>15</v>
      </c>
      <c r="F173">
        <v>1</v>
      </c>
      <c r="G173">
        <v>15</v>
      </c>
      <c r="H173" t="s">
        <v>51</v>
      </c>
      <c r="I173" t="s">
        <v>44</v>
      </c>
      <c r="J173" t="s">
        <v>16</v>
      </c>
      <c r="K173" t="s">
        <v>17</v>
      </c>
      <c r="L173" s="1" t="str">
        <f t="shared" si="16"/>
        <v>March</v>
      </c>
      <c r="M173" s="3">
        <f t="shared" si="17"/>
        <v>3</v>
      </c>
      <c r="N173" t="str">
        <f t="shared" si="18"/>
        <v>Q1</v>
      </c>
      <c r="O173" t="str">
        <f t="shared" si="19"/>
        <v>Low (&lt;2K)</v>
      </c>
      <c r="P173" t="str">
        <f t="shared" si="20"/>
        <v>Small (1-2)</v>
      </c>
      <c r="Q173">
        <f t="shared" si="21"/>
        <v>0</v>
      </c>
      <c r="R173">
        <f t="shared" si="22"/>
        <v>1</v>
      </c>
      <c r="S173">
        <f t="shared" si="23"/>
        <v>15</v>
      </c>
    </row>
    <row r="174" spans="1:19" x14ac:dyDescent="0.3">
      <c r="A174" t="s">
        <v>226</v>
      </c>
      <c r="B174" s="1">
        <v>45716</v>
      </c>
      <c r="C174" t="s">
        <v>65</v>
      </c>
      <c r="D174" t="s">
        <v>61</v>
      </c>
      <c r="E174">
        <v>1200</v>
      </c>
      <c r="F174">
        <v>1</v>
      </c>
      <c r="G174">
        <v>1200</v>
      </c>
      <c r="H174" t="s">
        <v>29</v>
      </c>
      <c r="I174" t="s">
        <v>63</v>
      </c>
      <c r="J174" t="s">
        <v>39</v>
      </c>
      <c r="K174" t="s">
        <v>40</v>
      </c>
      <c r="L174" s="1" t="str">
        <f t="shared" si="16"/>
        <v>February</v>
      </c>
      <c r="M174" s="3">
        <f t="shared" si="17"/>
        <v>2</v>
      </c>
      <c r="N174" t="str">
        <f t="shared" si="18"/>
        <v>Q1</v>
      </c>
      <c r="O174" t="str">
        <f t="shared" si="19"/>
        <v>Low (&lt;2K)</v>
      </c>
      <c r="P174" t="str">
        <f t="shared" si="20"/>
        <v>Small (1-2)</v>
      </c>
      <c r="Q174">
        <f t="shared" si="21"/>
        <v>1</v>
      </c>
      <c r="R174">
        <f t="shared" si="22"/>
        <v>0</v>
      </c>
      <c r="S174">
        <f t="shared" si="23"/>
        <v>0</v>
      </c>
    </row>
    <row r="175" spans="1:19" x14ac:dyDescent="0.3">
      <c r="A175" t="s">
        <v>227</v>
      </c>
      <c r="B175" s="1">
        <v>45729</v>
      </c>
      <c r="C175" t="s">
        <v>33</v>
      </c>
      <c r="D175" t="s">
        <v>20</v>
      </c>
      <c r="E175">
        <v>150</v>
      </c>
      <c r="F175">
        <v>2</v>
      </c>
      <c r="G175">
        <v>300</v>
      </c>
      <c r="H175" t="s">
        <v>51</v>
      </c>
      <c r="I175" t="s">
        <v>81</v>
      </c>
      <c r="J175" t="s">
        <v>16</v>
      </c>
      <c r="K175" t="s">
        <v>23</v>
      </c>
      <c r="L175" s="1" t="str">
        <f t="shared" si="16"/>
        <v>March</v>
      </c>
      <c r="M175" s="3">
        <f t="shared" si="17"/>
        <v>3</v>
      </c>
      <c r="N175" t="str">
        <f t="shared" si="18"/>
        <v>Q1</v>
      </c>
      <c r="O175" t="str">
        <f t="shared" si="19"/>
        <v>Low (&lt;2K)</v>
      </c>
      <c r="P175" t="str">
        <f t="shared" si="20"/>
        <v>Small (1-2)</v>
      </c>
      <c r="Q175">
        <f t="shared" si="21"/>
        <v>0</v>
      </c>
      <c r="R175">
        <f t="shared" si="22"/>
        <v>0</v>
      </c>
      <c r="S175">
        <f t="shared" si="23"/>
        <v>0</v>
      </c>
    </row>
    <row r="176" spans="1:19" x14ac:dyDescent="0.3">
      <c r="A176" t="s">
        <v>228</v>
      </c>
      <c r="B176" s="1">
        <v>45740</v>
      </c>
      <c r="C176" t="s">
        <v>53</v>
      </c>
      <c r="D176" t="s">
        <v>36</v>
      </c>
      <c r="E176">
        <v>40</v>
      </c>
      <c r="F176">
        <v>5</v>
      </c>
      <c r="G176">
        <v>200</v>
      </c>
      <c r="H176" t="s">
        <v>51</v>
      </c>
      <c r="I176" t="s">
        <v>15</v>
      </c>
      <c r="J176" t="s">
        <v>16</v>
      </c>
      <c r="K176" t="s">
        <v>17</v>
      </c>
      <c r="L176" s="1" t="str">
        <f t="shared" si="16"/>
        <v>March</v>
      </c>
      <c r="M176" s="3">
        <f t="shared" si="17"/>
        <v>3</v>
      </c>
      <c r="N176" t="str">
        <f t="shared" si="18"/>
        <v>Q1</v>
      </c>
      <c r="O176" t="str">
        <f t="shared" si="19"/>
        <v>Low (&lt;2K)</v>
      </c>
      <c r="P176" t="str">
        <f t="shared" si="20"/>
        <v>Bulk (5+)</v>
      </c>
      <c r="Q176">
        <f t="shared" si="21"/>
        <v>0</v>
      </c>
      <c r="R176">
        <f t="shared" si="22"/>
        <v>1</v>
      </c>
      <c r="S176">
        <f t="shared" si="23"/>
        <v>200</v>
      </c>
    </row>
    <row r="177" spans="1:19" x14ac:dyDescent="0.3">
      <c r="A177" t="s">
        <v>229</v>
      </c>
      <c r="B177" s="1">
        <v>45743</v>
      </c>
      <c r="C177" t="s">
        <v>49</v>
      </c>
      <c r="D177" t="s">
        <v>50</v>
      </c>
      <c r="E177">
        <v>15</v>
      </c>
      <c r="F177">
        <v>1</v>
      </c>
      <c r="G177">
        <v>15</v>
      </c>
      <c r="H177" t="s">
        <v>54</v>
      </c>
      <c r="I177" t="s">
        <v>46</v>
      </c>
      <c r="J177" t="s">
        <v>27</v>
      </c>
      <c r="K177" t="s">
        <v>40</v>
      </c>
      <c r="L177" s="1" t="str">
        <f t="shared" si="16"/>
        <v>March</v>
      </c>
      <c r="M177" s="3">
        <f t="shared" si="17"/>
        <v>3</v>
      </c>
      <c r="N177" t="str">
        <f t="shared" si="18"/>
        <v>Q1</v>
      </c>
      <c r="O177" t="str">
        <f t="shared" si="19"/>
        <v>Low (&lt;2K)</v>
      </c>
      <c r="P177" t="str">
        <f t="shared" si="20"/>
        <v>Small (1-2)</v>
      </c>
      <c r="Q177">
        <f t="shared" si="21"/>
        <v>1</v>
      </c>
      <c r="R177">
        <f t="shared" si="22"/>
        <v>0</v>
      </c>
      <c r="S177">
        <f t="shared" si="23"/>
        <v>0</v>
      </c>
    </row>
    <row r="178" spans="1:19" x14ac:dyDescent="0.3">
      <c r="A178" t="s">
        <v>230</v>
      </c>
      <c r="B178" s="1">
        <v>45730</v>
      </c>
      <c r="C178" t="s">
        <v>49</v>
      </c>
      <c r="D178" t="s">
        <v>50</v>
      </c>
      <c r="E178">
        <v>15</v>
      </c>
      <c r="F178">
        <v>5</v>
      </c>
      <c r="G178">
        <v>75</v>
      </c>
      <c r="H178" t="s">
        <v>51</v>
      </c>
      <c r="I178" t="s">
        <v>22</v>
      </c>
      <c r="J178" t="s">
        <v>31</v>
      </c>
      <c r="K178" t="s">
        <v>23</v>
      </c>
      <c r="L178" s="1" t="str">
        <f t="shared" si="16"/>
        <v>March</v>
      </c>
      <c r="M178" s="3">
        <f t="shared" si="17"/>
        <v>3</v>
      </c>
      <c r="N178" t="str">
        <f t="shared" si="18"/>
        <v>Q1</v>
      </c>
      <c r="O178" t="str">
        <f t="shared" si="19"/>
        <v>Low (&lt;2K)</v>
      </c>
      <c r="P178" t="str">
        <f t="shared" si="20"/>
        <v>Bulk (5+)</v>
      </c>
      <c r="Q178">
        <f t="shared" si="21"/>
        <v>0</v>
      </c>
      <c r="R178">
        <f t="shared" si="22"/>
        <v>0</v>
      </c>
      <c r="S178">
        <f t="shared" si="23"/>
        <v>0</v>
      </c>
    </row>
    <row r="179" spans="1:19" x14ac:dyDescent="0.3">
      <c r="A179" t="s">
        <v>231</v>
      </c>
      <c r="B179" s="1">
        <v>45694</v>
      </c>
      <c r="C179" t="s">
        <v>42</v>
      </c>
      <c r="D179" t="s">
        <v>20</v>
      </c>
      <c r="E179">
        <v>500</v>
      </c>
      <c r="F179">
        <v>3</v>
      </c>
      <c r="G179">
        <v>1500</v>
      </c>
      <c r="H179" t="s">
        <v>21</v>
      </c>
      <c r="I179" t="s">
        <v>81</v>
      </c>
      <c r="J179" t="s">
        <v>39</v>
      </c>
      <c r="K179" t="s">
        <v>40</v>
      </c>
      <c r="L179" s="1" t="str">
        <f t="shared" si="16"/>
        <v>February</v>
      </c>
      <c r="M179" s="3">
        <f t="shared" si="17"/>
        <v>2</v>
      </c>
      <c r="N179" t="str">
        <f t="shared" si="18"/>
        <v>Q1</v>
      </c>
      <c r="O179" t="str">
        <f t="shared" si="19"/>
        <v>Low (&lt;2K)</v>
      </c>
      <c r="P179" t="str">
        <f t="shared" si="20"/>
        <v>Medium (3-4)</v>
      </c>
      <c r="Q179">
        <f t="shared" si="21"/>
        <v>1</v>
      </c>
      <c r="R179">
        <f t="shared" si="22"/>
        <v>0</v>
      </c>
      <c r="S179">
        <f t="shared" si="23"/>
        <v>0</v>
      </c>
    </row>
    <row r="180" spans="1:19" x14ac:dyDescent="0.3">
      <c r="A180" t="s">
        <v>232</v>
      </c>
      <c r="B180" s="1">
        <v>45741</v>
      </c>
      <c r="C180" t="s">
        <v>53</v>
      </c>
      <c r="D180" t="s">
        <v>36</v>
      </c>
      <c r="E180">
        <v>40</v>
      </c>
      <c r="F180">
        <v>1</v>
      </c>
      <c r="G180">
        <v>40</v>
      </c>
      <c r="H180" t="s">
        <v>29</v>
      </c>
      <c r="I180" t="s">
        <v>63</v>
      </c>
      <c r="J180" t="s">
        <v>39</v>
      </c>
      <c r="K180" t="s">
        <v>17</v>
      </c>
      <c r="L180" s="1" t="str">
        <f t="shared" si="16"/>
        <v>March</v>
      </c>
      <c r="M180" s="3">
        <f t="shared" si="17"/>
        <v>3</v>
      </c>
      <c r="N180" t="str">
        <f t="shared" si="18"/>
        <v>Q1</v>
      </c>
      <c r="O180" t="str">
        <f t="shared" si="19"/>
        <v>Low (&lt;2K)</v>
      </c>
      <c r="P180" t="str">
        <f t="shared" si="20"/>
        <v>Small (1-2)</v>
      </c>
      <c r="Q180">
        <f t="shared" si="21"/>
        <v>0</v>
      </c>
      <c r="R180">
        <f t="shared" si="22"/>
        <v>1</v>
      </c>
      <c r="S180">
        <f t="shared" si="23"/>
        <v>40</v>
      </c>
    </row>
    <row r="181" spans="1:19" x14ac:dyDescent="0.3">
      <c r="A181" t="s">
        <v>233</v>
      </c>
      <c r="B181" s="1">
        <v>45720</v>
      </c>
      <c r="C181" t="s">
        <v>65</v>
      </c>
      <c r="D181" t="s">
        <v>61</v>
      </c>
      <c r="E181">
        <v>1200</v>
      </c>
      <c r="F181">
        <v>3</v>
      </c>
      <c r="G181">
        <v>3600</v>
      </c>
      <c r="H181" t="s">
        <v>51</v>
      </c>
      <c r="I181" t="s">
        <v>46</v>
      </c>
      <c r="J181" t="s">
        <v>58</v>
      </c>
      <c r="K181" t="s">
        <v>40</v>
      </c>
      <c r="L181" s="1" t="str">
        <f t="shared" si="16"/>
        <v>March</v>
      </c>
      <c r="M181" s="3">
        <f t="shared" si="17"/>
        <v>3</v>
      </c>
      <c r="N181" t="str">
        <f t="shared" si="18"/>
        <v>Q1</v>
      </c>
      <c r="O181" t="str">
        <f t="shared" si="19"/>
        <v>Mid (2K-5K)</v>
      </c>
      <c r="P181" t="str">
        <f t="shared" si="20"/>
        <v>Medium (3-4)</v>
      </c>
      <c r="Q181">
        <f t="shared" si="21"/>
        <v>1</v>
      </c>
      <c r="R181">
        <f t="shared" si="22"/>
        <v>0</v>
      </c>
      <c r="S181">
        <f t="shared" si="23"/>
        <v>0</v>
      </c>
    </row>
    <row r="182" spans="1:19" x14ac:dyDescent="0.3">
      <c r="A182" t="s">
        <v>234</v>
      </c>
      <c r="B182" s="1">
        <v>45719</v>
      </c>
      <c r="C182" t="s">
        <v>12</v>
      </c>
      <c r="D182" t="s">
        <v>13</v>
      </c>
      <c r="E182">
        <v>60</v>
      </c>
      <c r="F182">
        <v>2</v>
      </c>
      <c r="G182">
        <v>120</v>
      </c>
      <c r="H182" t="s">
        <v>51</v>
      </c>
      <c r="I182" t="s">
        <v>68</v>
      </c>
      <c r="J182" t="s">
        <v>16</v>
      </c>
      <c r="K182" t="s">
        <v>17</v>
      </c>
      <c r="L182" s="1" t="str">
        <f t="shared" si="16"/>
        <v>March</v>
      </c>
      <c r="M182" s="3">
        <f t="shared" si="17"/>
        <v>3</v>
      </c>
      <c r="N182" t="str">
        <f t="shared" si="18"/>
        <v>Q1</v>
      </c>
      <c r="O182" t="str">
        <f t="shared" si="19"/>
        <v>Low (&lt;2K)</v>
      </c>
      <c r="P182" t="str">
        <f t="shared" si="20"/>
        <v>Small (1-2)</v>
      </c>
      <c r="Q182">
        <f t="shared" si="21"/>
        <v>0</v>
      </c>
      <c r="R182">
        <f t="shared" si="22"/>
        <v>1</v>
      </c>
      <c r="S182">
        <f t="shared" si="23"/>
        <v>120</v>
      </c>
    </row>
    <row r="183" spans="1:19" x14ac:dyDescent="0.3">
      <c r="A183" t="s">
        <v>235</v>
      </c>
      <c r="B183" s="1">
        <v>45749</v>
      </c>
      <c r="C183" t="s">
        <v>35</v>
      </c>
      <c r="D183" t="s">
        <v>36</v>
      </c>
      <c r="E183">
        <v>20</v>
      </c>
      <c r="F183">
        <v>5</v>
      </c>
      <c r="G183">
        <v>100</v>
      </c>
      <c r="H183" t="s">
        <v>14</v>
      </c>
      <c r="I183" t="s">
        <v>26</v>
      </c>
      <c r="J183" t="s">
        <v>39</v>
      </c>
      <c r="K183" t="s">
        <v>40</v>
      </c>
      <c r="L183" s="1" t="str">
        <f t="shared" si="16"/>
        <v>April</v>
      </c>
      <c r="M183" s="3">
        <f t="shared" si="17"/>
        <v>4</v>
      </c>
      <c r="N183" t="str">
        <f t="shared" si="18"/>
        <v>Q2</v>
      </c>
      <c r="O183" t="str">
        <f t="shared" si="19"/>
        <v>Low (&lt;2K)</v>
      </c>
      <c r="P183" t="str">
        <f t="shared" si="20"/>
        <v>Bulk (5+)</v>
      </c>
      <c r="Q183">
        <f t="shared" si="21"/>
        <v>1</v>
      </c>
      <c r="R183">
        <f t="shared" si="22"/>
        <v>0</v>
      </c>
      <c r="S183">
        <f t="shared" si="23"/>
        <v>0</v>
      </c>
    </row>
    <row r="184" spans="1:19" x14ac:dyDescent="0.3">
      <c r="A184" t="s">
        <v>236</v>
      </c>
      <c r="B184" s="1">
        <v>45741</v>
      </c>
      <c r="C184" t="s">
        <v>60</v>
      </c>
      <c r="D184" t="s">
        <v>61</v>
      </c>
      <c r="E184">
        <v>600</v>
      </c>
      <c r="F184">
        <v>1</v>
      </c>
      <c r="G184">
        <v>600</v>
      </c>
      <c r="H184" t="s">
        <v>14</v>
      </c>
      <c r="I184" t="s">
        <v>63</v>
      </c>
      <c r="J184" t="s">
        <v>16</v>
      </c>
      <c r="K184" t="s">
        <v>23</v>
      </c>
      <c r="L184" s="1" t="str">
        <f t="shared" si="16"/>
        <v>March</v>
      </c>
      <c r="M184" s="3">
        <f t="shared" si="17"/>
        <v>3</v>
      </c>
      <c r="N184" t="str">
        <f t="shared" si="18"/>
        <v>Q1</v>
      </c>
      <c r="O184" t="str">
        <f t="shared" si="19"/>
        <v>Low (&lt;2K)</v>
      </c>
      <c r="P184" t="str">
        <f t="shared" si="20"/>
        <v>Small (1-2)</v>
      </c>
      <c r="Q184">
        <f t="shared" si="21"/>
        <v>0</v>
      </c>
      <c r="R184">
        <f t="shared" si="22"/>
        <v>0</v>
      </c>
      <c r="S184">
        <f t="shared" si="23"/>
        <v>0</v>
      </c>
    </row>
    <row r="185" spans="1:19" x14ac:dyDescent="0.3">
      <c r="A185" t="s">
        <v>237</v>
      </c>
      <c r="B185" s="1">
        <v>45705</v>
      </c>
      <c r="C185" t="s">
        <v>49</v>
      </c>
      <c r="D185" t="s">
        <v>50</v>
      </c>
      <c r="E185">
        <v>15</v>
      </c>
      <c r="F185">
        <v>5</v>
      </c>
      <c r="G185">
        <v>75</v>
      </c>
      <c r="H185" t="s">
        <v>57</v>
      </c>
      <c r="I185" t="s">
        <v>44</v>
      </c>
      <c r="J185" t="s">
        <v>16</v>
      </c>
      <c r="K185" t="s">
        <v>23</v>
      </c>
      <c r="L185" s="1" t="str">
        <f t="shared" si="16"/>
        <v>February</v>
      </c>
      <c r="M185" s="3">
        <f t="shared" si="17"/>
        <v>2</v>
      </c>
      <c r="N185" t="str">
        <f t="shared" si="18"/>
        <v>Q1</v>
      </c>
      <c r="O185" t="str">
        <f t="shared" si="19"/>
        <v>Low (&lt;2K)</v>
      </c>
      <c r="P185" t="str">
        <f t="shared" si="20"/>
        <v>Bulk (5+)</v>
      </c>
      <c r="Q185">
        <f t="shared" si="21"/>
        <v>0</v>
      </c>
      <c r="R185">
        <f t="shared" si="22"/>
        <v>0</v>
      </c>
      <c r="S185">
        <f t="shared" si="23"/>
        <v>0</v>
      </c>
    </row>
    <row r="186" spans="1:19" x14ac:dyDescent="0.3">
      <c r="A186" t="s">
        <v>238</v>
      </c>
      <c r="B186" s="1">
        <v>45738</v>
      </c>
      <c r="C186" t="s">
        <v>35</v>
      </c>
      <c r="D186" t="s">
        <v>36</v>
      </c>
      <c r="E186">
        <v>20</v>
      </c>
      <c r="F186">
        <v>1</v>
      </c>
      <c r="G186">
        <v>20</v>
      </c>
      <c r="H186" t="s">
        <v>72</v>
      </c>
      <c r="I186" t="s">
        <v>30</v>
      </c>
      <c r="J186" t="s">
        <v>16</v>
      </c>
      <c r="K186" t="s">
        <v>40</v>
      </c>
      <c r="L186" s="1" t="str">
        <f t="shared" si="16"/>
        <v>March</v>
      </c>
      <c r="M186" s="3">
        <f t="shared" si="17"/>
        <v>3</v>
      </c>
      <c r="N186" t="str">
        <f t="shared" si="18"/>
        <v>Q1</v>
      </c>
      <c r="O186" t="str">
        <f t="shared" si="19"/>
        <v>Low (&lt;2K)</v>
      </c>
      <c r="P186" t="str">
        <f t="shared" si="20"/>
        <v>Small (1-2)</v>
      </c>
      <c r="Q186">
        <f t="shared" si="21"/>
        <v>1</v>
      </c>
      <c r="R186">
        <f t="shared" si="22"/>
        <v>0</v>
      </c>
      <c r="S186">
        <f t="shared" si="23"/>
        <v>0</v>
      </c>
    </row>
    <row r="187" spans="1:19" x14ac:dyDescent="0.3">
      <c r="A187" t="s">
        <v>239</v>
      </c>
      <c r="B187" s="1">
        <v>45718</v>
      </c>
      <c r="C187" t="s">
        <v>60</v>
      </c>
      <c r="D187" t="s">
        <v>61</v>
      </c>
      <c r="E187">
        <v>600</v>
      </c>
      <c r="F187">
        <v>4</v>
      </c>
      <c r="G187">
        <v>2400</v>
      </c>
      <c r="H187" t="s">
        <v>54</v>
      </c>
      <c r="I187" t="s">
        <v>15</v>
      </c>
      <c r="J187" t="s">
        <v>39</v>
      </c>
      <c r="K187" t="s">
        <v>40</v>
      </c>
      <c r="L187" s="1" t="str">
        <f t="shared" si="16"/>
        <v>March</v>
      </c>
      <c r="M187" s="3">
        <f t="shared" si="17"/>
        <v>3</v>
      </c>
      <c r="N187" t="str">
        <f t="shared" si="18"/>
        <v>Q1</v>
      </c>
      <c r="O187" t="str">
        <f t="shared" si="19"/>
        <v>Mid (2K-5K)</v>
      </c>
      <c r="P187" t="str">
        <f t="shared" si="20"/>
        <v>Medium (3-4)</v>
      </c>
      <c r="Q187">
        <f t="shared" si="21"/>
        <v>1</v>
      </c>
      <c r="R187">
        <f t="shared" si="22"/>
        <v>0</v>
      </c>
      <c r="S187">
        <f t="shared" si="23"/>
        <v>0</v>
      </c>
    </row>
    <row r="188" spans="1:19" x14ac:dyDescent="0.3">
      <c r="A188" t="s">
        <v>240</v>
      </c>
      <c r="B188" s="1">
        <v>45729</v>
      </c>
      <c r="C188" t="s">
        <v>56</v>
      </c>
      <c r="D188" t="s">
        <v>20</v>
      </c>
      <c r="E188">
        <v>800</v>
      </c>
      <c r="F188">
        <v>3</v>
      </c>
      <c r="G188">
        <v>2400</v>
      </c>
      <c r="H188" t="s">
        <v>25</v>
      </c>
      <c r="I188" t="s">
        <v>15</v>
      </c>
      <c r="J188" t="s">
        <v>39</v>
      </c>
      <c r="K188" t="s">
        <v>23</v>
      </c>
      <c r="L188" s="1" t="str">
        <f t="shared" si="16"/>
        <v>March</v>
      </c>
      <c r="M188" s="3">
        <f t="shared" si="17"/>
        <v>3</v>
      </c>
      <c r="N188" t="str">
        <f t="shared" si="18"/>
        <v>Q1</v>
      </c>
      <c r="O188" t="str">
        <f t="shared" si="19"/>
        <v>Mid (2K-5K)</v>
      </c>
      <c r="P188" t="str">
        <f t="shared" si="20"/>
        <v>Medium (3-4)</v>
      </c>
      <c r="Q188">
        <f t="shared" si="21"/>
        <v>0</v>
      </c>
      <c r="R188">
        <f t="shared" si="22"/>
        <v>0</v>
      </c>
      <c r="S188">
        <f t="shared" si="23"/>
        <v>0</v>
      </c>
    </row>
    <row r="189" spans="1:19" x14ac:dyDescent="0.3">
      <c r="A189" t="s">
        <v>241</v>
      </c>
      <c r="B189" s="1">
        <v>45702</v>
      </c>
      <c r="C189" t="s">
        <v>49</v>
      </c>
      <c r="D189" t="s">
        <v>50</v>
      </c>
      <c r="E189">
        <v>15</v>
      </c>
      <c r="F189">
        <v>1</v>
      </c>
      <c r="G189">
        <v>15</v>
      </c>
      <c r="H189" t="s">
        <v>25</v>
      </c>
      <c r="I189" t="s">
        <v>46</v>
      </c>
      <c r="J189" t="s">
        <v>27</v>
      </c>
      <c r="K189" t="s">
        <v>40</v>
      </c>
      <c r="L189" s="1" t="str">
        <f t="shared" si="16"/>
        <v>February</v>
      </c>
      <c r="M189" s="3">
        <f t="shared" si="17"/>
        <v>2</v>
      </c>
      <c r="N189" t="str">
        <f t="shared" si="18"/>
        <v>Q1</v>
      </c>
      <c r="O189" t="str">
        <f t="shared" si="19"/>
        <v>Low (&lt;2K)</v>
      </c>
      <c r="P189" t="str">
        <f t="shared" si="20"/>
        <v>Small (1-2)</v>
      </c>
      <c r="Q189">
        <f t="shared" si="21"/>
        <v>1</v>
      </c>
      <c r="R189">
        <f t="shared" si="22"/>
        <v>0</v>
      </c>
      <c r="S189">
        <f t="shared" si="23"/>
        <v>0</v>
      </c>
    </row>
    <row r="190" spans="1:19" x14ac:dyDescent="0.3">
      <c r="A190" t="s">
        <v>242</v>
      </c>
      <c r="B190" s="1">
        <v>45698</v>
      </c>
      <c r="C190" t="s">
        <v>56</v>
      </c>
      <c r="D190" t="s">
        <v>20</v>
      </c>
      <c r="E190">
        <v>800</v>
      </c>
      <c r="F190">
        <v>3</v>
      </c>
      <c r="G190">
        <v>2400</v>
      </c>
      <c r="H190" t="s">
        <v>80</v>
      </c>
      <c r="I190" t="s">
        <v>38</v>
      </c>
      <c r="J190" t="s">
        <v>27</v>
      </c>
      <c r="K190" t="s">
        <v>40</v>
      </c>
      <c r="L190" s="1" t="str">
        <f t="shared" si="16"/>
        <v>February</v>
      </c>
      <c r="M190" s="3">
        <f t="shared" si="17"/>
        <v>2</v>
      </c>
      <c r="N190" t="str">
        <f t="shared" si="18"/>
        <v>Q1</v>
      </c>
      <c r="O190" t="str">
        <f t="shared" si="19"/>
        <v>Mid (2K-5K)</v>
      </c>
      <c r="P190" t="str">
        <f t="shared" si="20"/>
        <v>Medium (3-4)</v>
      </c>
      <c r="Q190">
        <f t="shared" si="21"/>
        <v>1</v>
      </c>
      <c r="R190">
        <f t="shared" si="22"/>
        <v>0</v>
      </c>
      <c r="S190">
        <f t="shared" si="23"/>
        <v>0</v>
      </c>
    </row>
    <row r="191" spans="1:19" x14ac:dyDescent="0.3">
      <c r="A191" t="s">
        <v>243</v>
      </c>
      <c r="B191" s="1">
        <v>45711</v>
      </c>
      <c r="C191" t="s">
        <v>12</v>
      </c>
      <c r="D191" t="s">
        <v>13</v>
      </c>
      <c r="E191">
        <v>60</v>
      </c>
      <c r="F191">
        <v>1</v>
      </c>
      <c r="G191">
        <v>60</v>
      </c>
      <c r="H191" t="s">
        <v>43</v>
      </c>
      <c r="I191" t="s">
        <v>38</v>
      </c>
      <c r="J191" t="s">
        <v>39</v>
      </c>
      <c r="K191" t="s">
        <v>40</v>
      </c>
      <c r="L191" s="1" t="str">
        <f t="shared" si="16"/>
        <v>February</v>
      </c>
      <c r="M191" s="3">
        <f t="shared" si="17"/>
        <v>2</v>
      </c>
      <c r="N191" t="str">
        <f t="shared" si="18"/>
        <v>Q1</v>
      </c>
      <c r="O191" t="str">
        <f t="shared" si="19"/>
        <v>Low (&lt;2K)</v>
      </c>
      <c r="P191" t="str">
        <f t="shared" si="20"/>
        <v>Small (1-2)</v>
      </c>
      <c r="Q191">
        <f t="shared" si="21"/>
        <v>1</v>
      </c>
      <c r="R191">
        <f t="shared" si="22"/>
        <v>0</v>
      </c>
      <c r="S191">
        <f t="shared" si="23"/>
        <v>0</v>
      </c>
    </row>
    <row r="192" spans="1:19" x14ac:dyDescent="0.3">
      <c r="A192" t="s">
        <v>244</v>
      </c>
      <c r="B192" s="1">
        <v>45716</v>
      </c>
      <c r="C192" t="s">
        <v>53</v>
      </c>
      <c r="D192" t="s">
        <v>36</v>
      </c>
      <c r="E192">
        <v>40</v>
      </c>
      <c r="F192">
        <v>4</v>
      </c>
      <c r="G192">
        <v>160</v>
      </c>
      <c r="H192" t="s">
        <v>25</v>
      </c>
      <c r="I192" t="s">
        <v>63</v>
      </c>
      <c r="J192" t="s">
        <v>27</v>
      </c>
      <c r="K192" t="s">
        <v>23</v>
      </c>
      <c r="L192" s="1" t="str">
        <f t="shared" si="16"/>
        <v>February</v>
      </c>
      <c r="M192" s="3">
        <f t="shared" si="17"/>
        <v>2</v>
      </c>
      <c r="N192" t="str">
        <f t="shared" si="18"/>
        <v>Q1</v>
      </c>
      <c r="O192" t="str">
        <f t="shared" si="19"/>
        <v>Low (&lt;2K)</v>
      </c>
      <c r="P192" t="str">
        <f t="shared" si="20"/>
        <v>Medium (3-4)</v>
      </c>
      <c r="Q192">
        <f t="shared" si="21"/>
        <v>0</v>
      </c>
      <c r="R192">
        <f t="shared" si="22"/>
        <v>0</v>
      </c>
      <c r="S192">
        <f t="shared" si="23"/>
        <v>0</v>
      </c>
    </row>
    <row r="193" spans="1:19" x14ac:dyDescent="0.3">
      <c r="A193" t="s">
        <v>245</v>
      </c>
      <c r="B193" s="1">
        <v>45747</v>
      </c>
      <c r="C193" t="s">
        <v>19</v>
      </c>
      <c r="D193" t="s">
        <v>20</v>
      </c>
      <c r="E193">
        <v>100</v>
      </c>
      <c r="F193">
        <v>3</v>
      </c>
      <c r="G193">
        <v>300</v>
      </c>
      <c r="H193" t="s">
        <v>43</v>
      </c>
      <c r="I193" t="s">
        <v>30</v>
      </c>
      <c r="J193" t="s">
        <v>58</v>
      </c>
      <c r="K193" t="s">
        <v>23</v>
      </c>
      <c r="L193" s="1" t="str">
        <f t="shared" si="16"/>
        <v>March</v>
      </c>
      <c r="M193" s="3">
        <f t="shared" si="17"/>
        <v>3</v>
      </c>
      <c r="N193" t="str">
        <f t="shared" si="18"/>
        <v>Q1</v>
      </c>
      <c r="O193" t="str">
        <f t="shared" si="19"/>
        <v>Low (&lt;2K)</v>
      </c>
      <c r="P193" t="str">
        <f t="shared" si="20"/>
        <v>Medium (3-4)</v>
      </c>
      <c r="Q193">
        <f t="shared" si="21"/>
        <v>0</v>
      </c>
      <c r="R193">
        <f t="shared" si="22"/>
        <v>0</v>
      </c>
      <c r="S193">
        <f t="shared" si="23"/>
        <v>0</v>
      </c>
    </row>
    <row r="194" spans="1:19" x14ac:dyDescent="0.3">
      <c r="A194" t="s">
        <v>246</v>
      </c>
      <c r="B194" s="1">
        <v>45746</v>
      </c>
      <c r="C194" t="s">
        <v>49</v>
      </c>
      <c r="D194" t="s">
        <v>50</v>
      </c>
      <c r="E194">
        <v>15</v>
      </c>
      <c r="F194">
        <v>5</v>
      </c>
      <c r="G194">
        <v>75</v>
      </c>
      <c r="H194" t="s">
        <v>51</v>
      </c>
      <c r="I194" t="s">
        <v>81</v>
      </c>
      <c r="J194" t="s">
        <v>27</v>
      </c>
      <c r="K194" t="s">
        <v>23</v>
      </c>
      <c r="L194" s="1" t="str">
        <f t="shared" ref="L194:L251" si="24">TEXT(B194,"MMMM")</f>
        <v>March</v>
      </c>
      <c r="M194" s="3">
        <f t="shared" si="17"/>
        <v>3</v>
      </c>
      <c r="N194" t="str">
        <f t="shared" si="18"/>
        <v>Q1</v>
      </c>
      <c r="O194" t="str">
        <f t="shared" si="19"/>
        <v>Low (&lt;2K)</v>
      </c>
      <c r="P194" t="str">
        <f t="shared" si="20"/>
        <v>Bulk (5+)</v>
      </c>
      <c r="Q194">
        <f t="shared" si="21"/>
        <v>0</v>
      </c>
      <c r="R194">
        <f t="shared" si="22"/>
        <v>0</v>
      </c>
      <c r="S194">
        <f t="shared" si="23"/>
        <v>0</v>
      </c>
    </row>
    <row r="195" spans="1:19" x14ac:dyDescent="0.3">
      <c r="A195" t="s">
        <v>247</v>
      </c>
      <c r="B195" s="1">
        <v>45708</v>
      </c>
      <c r="C195" t="s">
        <v>53</v>
      </c>
      <c r="D195" t="s">
        <v>36</v>
      </c>
      <c r="E195">
        <v>40</v>
      </c>
      <c r="F195">
        <v>4</v>
      </c>
      <c r="G195">
        <v>160</v>
      </c>
      <c r="H195" t="s">
        <v>25</v>
      </c>
      <c r="I195" t="s">
        <v>22</v>
      </c>
      <c r="J195" t="s">
        <v>16</v>
      </c>
      <c r="K195" t="s">
        <v>17</v>
      </c>
      <c r="L195" s="1" t="str">
        <f t="shared" si="24"/>
        <v>February</v>
      </c>
      <c r="M195" s="3">
        <f t="shared" ref="M195:M251" si="25">MONTH(B195)</f>
        <v>2</v>
      </c>
      <c r="N195" t="str">
        <f t="shared" ref="N195:N251" si="26">IF(MONTH(B195)&lt;=3,"Q1",IF(MONTH(B195)&lt;=6,"Q2",IF(MONTH(B195)&lt;=9,"Q3","Q4")))</f>
        <v>Q1</v>
      </c>
      <c r="O195" t="str">
        <f t="shared" ref="O195:O251" si="27">IF(G195&gt;=5000,"High (≥5K)",IF(G195&gt;=2000,"Mid (2K-5K)","Low (&lt;2K)"))</f>
        <v>Low (&lt;2K)</v>
      </c>
      <c r="P195" t="str">
        <f t="shared" ref="P195:P251" si="28">IF(F195&gt;=5,"Bulk (5+)",IF(F195&gt;=3,"Medium (3-4)","Small (1-2)"))</f>
        <v>Medium (3-4)</v>
      </c>
      <c r="Q195">
        <f t="shared" ref="Q195:Q251" si="29">IF(K195="Completed",1,0)</f>
        <v>0</v>
      </c>
      <c r="R195">
        <f t="shared" ref="R195:R251" si="30">IF(K195="Cancelled",1,0)</f>
        <v>1</v>
      </c>
      <c r="S195">
        <f t="shared" ref="S195:S251" si="31">IF(K195="Cancelled",G195,0)</f>
        <v>160</v>
      </c>
    </row>
    <row r="196" spans="1:19" x14ac:dyDescent="0.3">
      <c r="A196" t="s">
        <v>248</v>
      </c>
      <c r="B196" s="1">
        <v>45726</v>
      </c>
      <c r="C196" t="s">
        <v>42</v>
      </c>
      <c r="D196" t="s">
        <v>20</v>
      </c>
      <c r="E196">
        <v>500</v>
      </c>
      <c r="F196">
        <v>3</v>
      </c>
      <c r="G196">
        <v>1500</v>
      </c>
      <c r="H196" t="s">
        <v>29</v>
      </c>
      <c r="I196" t="s">
        <v>26</v>
      </c>
      <c r="J196" t="s">
        <v>58</v>
      </c>
      <c r="K196" t="s">
        <v>17</v>
      </c>
      <c r="L196" s="1" t="str">
        <f t="shared" si="24"/>
        <v>March</v>
      </c>
      <c r="M196" s="3">
        <f t="shared" si="25"/>
        <v>3</v>
      </c>
      <c r="N196" t="str">
        <f t="shared" si="26"/>
        <v>Q1</v>
      </c>
      <c r="O196" t="str">
        <f t="shared" si="27"/>
        <v>Low (&lt;2K)</v>
      </c>
      <c r="P196" t="str">
        <f t="shared" si="28"/>
        <v>Medium (3-4)</v>
      </c>
      <c r="Q196">
        <f t="shared" si="29"/>
        <v>0</v>
      </c>
      <c r="R196">
        <f t="shared" si="30"/>
        <v>1</v>
      </c>
      <c r="S196">
        <f t="shared" si="31"/>
        <v>1500</v>
      </c>
    </row>
    <row r="197" spans="1:19" x14ac:dyDescent="0.3">
      <c r="A197" t="s">
        <v>249</v>
      </c>
      <c r="B197" s="1">
        <v>45720</v>
      </c>
      <c r="C197" t="s">
        <v>19</v>
      </c>
      <c r="D197" t="s">
        <v>20</v>
      </c>
      <c r="E197">
        <v>100</v>
      </c>
      <c r="F197">
        <v>5</v>
      </c>
      <c r="G197">
        <v>500</v>
      </c>
      <c r="H197" t="s">
        <v>57</v>
      </c>
      <c r="I197" t="s">
        <v>63</v>
      </c>
      <c r="J197" t="s">
        <v>16</v>
      </c>
      <c r="K197" t="s">
        <v>23</v>
      </c>
      <c r="L197" s="1" t="str">
        <f t="shared" si="24"/>
        <v>March</v>
      </c>
      <c r="M197" s="3">
        <f t="shared" si="25"/>
        <v>3</v>
      </c>
      <c r="N197" t="str">
        <f t="shared" si="26"/>
        <v>Q1</v>
      </c>
      <c r="O197" t="str">
        <f t="shared" si="27"/>
        <v>Low (&lt;2K)</v>
      </c>
      <c r="P197" t="str">
        <f t="shared" si="28"/>
        <v>Bulk (5+)</v>
      </c>
      <c r="Q197">
        <f t="shared" si="29"/>
        <v>0</v>
      </c>
      <c r="R197">
        <f t="shared" si="30"/>
        <v>0</v>
      </c>
      <c r="S197">
        <f t="shared" si="31"/>
        <v>0</v>
      </c>
    </row>
    <row r="198" spans="1:19" x14ac:dyDescent="0.3">
      <c r="A198" t="s">
        <v>250</v>
      </c>
      <c r="B198" s="1">
        <v>45728</v>
      </c>
      <c r="C198" t="s">
        <v>12</v>
      </c>
      <c r="D198" t="s">
        <v>13</v>
      </c>
      <c r="E198">
        <v>60</v>
      </c>
      <c r="F198">
        <v>2</v>
      </c>
      <c r="G198">
        <v>120</v>
      </c>
      <c r="H198" t="s">
        <v>54</v>
      </c>
      <c r="I198" t="s">
        <v>26</v>
      </c>
      <c r="J198" t="s">
        <v>58</v>
      </c>
      <c r="K198" t="s">
        <v>40</v>
      </c>
      <c r="L198" s="1" t="str">
        <f t="shared" si="24"/>
        <v>March</v>
      </c>
      <c r="M198" s="3">
        <f t="shared" si="25"/>
        <v>3</v>
      </c>
      <c r="N198" t="str">
        <f t="shared" si="26"/>
        <v>Q1</v>
      </c>
      <c r="O198" t="str">
        <f t="shared" si="27"/>
        <v>Low (&lt;2K)</v>
      </c>
      <c r="P198" t="str">
        <f t="shared" si="28"/>
        <v>Small (1-2)</v>
      </c>
      <c r="Q198">
        <f t="shared" si="29"/>
        <v>1</v>
      </c>
      <c r="R198">
        <f t="shared" si="30"/>
        <v>0</v>
      </c>
      <c r="S198">
        <f t="shared" si="31"/>
        <v>0</v>
      </c>
    </row>
    <row r="199" spans="1:19" x14ac:dyDescent="0.3">
      <c r="A199" t="s">
        <v>251</v>
      </c>
      <c r="B199" s="1">
        <v>45708</v>
      </c>
      <c r="C199" t="s">
        <v>56</v>
      </c>
      <c r="D199" t="s">
        <v>20</v>
      </c>
      <c r="E199">
        <v>800</v>
      </c>
      <c r="F199">
        <v>4</v>
      </c>
      <c r="G199">
        <v>3200</v>
      </c>
      <c r="H199" t="s">
        <v>80</v>
      </c>
      <c r="I199" t="s">
        <v>63</v>
      </c>
      <c r="J199" t="s">
        <v>27</v>
      </c>
      <c r="K199" t="s">
        <v>23</v>
      </c>
      <c r="L199" s="1" t="str">
        <f t="shared" si="24"/>
        <v>February</v>
      </c>
      <c r="M199" s="3">
        <f t="shared" si="25"/>
        <v>2</v>
      </c>
      <c r="N199" t="str">
        <f t="shared" si="26"/>
        <v>Q1</v>
      </c>
      <c r="O199" t="str">
        <f t="shared" si="27"/>
        <v>Mid (2K-5K)</v>
      </c>
      <c r="P199" t="str">
        <f t="shared" si="28"/>
        <v>Medium (3-4)</v>
      </c>
      <c r="Q199">
        <f t="shared" si="29"/>
        <v>0</v>
      </c>
      <c r="R199">
        <f t="shared" si="30"/>
        <v>0</v>
      </c>
      <c r="S199">
        <f t="shared" si="31"/>
        <v>0</v>
      </c>
    </row>
    <row r="200" spans="1:19" x14ac:dyDescent="0.3">
      <c r="A200" t="s">
        <v>252</v>
      </c>
      <c r="B200" s="1">
        <v>45710</v>
      </c>
      <c r="C200" t="s">
        <v>42</v>
      </c>
      <c r="D200" t="s">
        <v>20</v>
      </c>
      <c r="E200">
        <v>500</v>
      </c>
      <c r="F200">
        <v>3</v>
      </c>
      <c r="G200">
        <v>1500</v>
      </c>
      <c r="H200" t="s">
        <v>72</v>
      </c>
      <c r="I200" t="s">
        <v>30</v>
      </c>
      <c r="J200" t="s">
        <v>31</v>
      </c>
      <c r="K200" t="s">
        <v>40</v>
      </c>
      <c r="L200" s="1" t="str">
        <f t="shared" si="24"/>
        <v>February</v>
      </c>
      <c r="M200" s="3">
        <f t="shared" si="25"/>
        <v>2</v>
      </c>
      <c r="N200" t="str">
        <f t="shared" si="26"/>
        <v>Q1</v>
      </c>
      <c r="O200" t="str">
        <f t="shared" si="27"/>
        <v>Low (&lt;2K)</v>
      </c>
      <c r="P200" t="str">
        <f t="shared" si="28"/>
        <v>Medium (3-4)</v>
      </c>
      <c r="Q200">
        <f t="shared" si="29"/>
        <v>1</v>
      </c>
      <c r="R200">
        <f t="shared" si="30"/>
        <v>0</v>
      </c>
      <c r="S200">
        <f t="shared" si="31"/>
        <v>0</v>
      </c>
    </row>
    <row r="201" spans="1:19" x14ac:dyDescent="0.3">
      <c r="A201" t="s">
        <v>253</v>
      </c>
      <c r="B201" s="1">
        <v>45698</v>
      </c>
      <c r="C201" t="s">
        <v>49</v>
      </c>
      <c r="D201" t="s">
        <v>50</v>
      </c>
      <c r="E201">
        <v>15</v>
      </c>
      <c r="F201">
        <v>2</v>
      </c>
      <c r="G201">
        <v>30</v>
      </c>
      <c r="H201" t="s">
        <v>72</v>
      </c>
      <c r="I201" t="s">
        <v>68</v>
      </c>
      <c r="J201" t="s">
        <v>16</v>
      </c>
      <c r="K201" t="s">
        <v>40</v>
      </c>
      <c r="L201" s="1" t="str">
        <f t="shared" si="24"/>
        <v>February</v>
      </c>
      <c r="M201" s="3">
        <f t="shared" si="25"/>
        <v>2</v>
      </c>
      <c r="N201" t="str">
        <f t="shared" si="26"/>
        <v>Q1</v>
      </c>
      <c r="O201" t="str">
        <f t="shared" si="27"/>
        <v>Low (&lt;2K)</v>
      </c>
      <c r="P201" t="str">
        <f t="shared" si="28"/>
        <v>Small (1-2)</v>
      </c>
      <c r="Q201">
        <f t="shared" si="29"/>
        <v>1</v>
      </c>
      <c r="R201">
        <f t="shared" si="30"/>
        <v>0</v>
      </c>
      <c r="S201">
        <f t="shared" si="31"/>
        <v>0</v>
      </c>
    </row>
    <row r="202" spans="1:19" x14ac:dyDescent="0.3">
      <c r="A202" t="s">
        <v>254</v>
      </c>
      <c r="B202" s="1">
        <v>45691</v>
      </c>
      <c r="C202" t="s">
        <v>49</v>
      </c>
      <c r="D202" t="s">
        <v>50</v>
      </c>
      <c r="E202">
        <v>15</v>
      </c>
      <c r="F202">
        <v>4</v>
      </c>
      <c r="G202">
        <v>60</v>
      </c>
      <c r="H202" t="s">
        <v>54</v>
      </c>
      <c r="I202" t="s">
        <v>22</v>
      </c>
      <c r="J202" t="s">
        <v>31</v>
      </c>
      <c r="K202" t="s">
        <v>40</v>
      </c>
      <c r="L202" s="1" t="str">
        <f t="shared" si="24"/>
        <v>February</v>
      </c>
      <c r="M202" s="3">
        <f t="shared" si="25"/>
        <v>2</v>
      </c>
      <c r="N202" t="str">
        <f t="shared" si="26"/>
        <v>Q1</v>
      </c>
      <c r="O202" t="str">
        <f t="shared" si="27"/>
        <v>Low (&lt;2K)</v>
      </c>
      <c r="P202" t="str">
        <f t="shared" si="28"/>
        <v>Medium (3-4)</v>
      </c>
      <c r="Q202">
        <f t="shared" si="29"/>
        <v>1</v>
      </c>
      <c r="R202">
        <f t="shared" si="30"/>
        <v>0</v>
      </c>
      <c r="S202">
        <f t="shared" si="31"/>
        <v>0</v>
      </c>
    </row>
    <row r="203" spans="1:19" x14ac:dyDescent="0.3">
      <c r="A203" t="s">
        <v>255</v>
      </c>
      <c r="B203" s="1">
        <v>45709</v>
      </c>
      <c r="C203" t="s">
        <v>42</v>
      </c>
      <c r="D203" t="s">
        <v>20</v>
      </c>
      <c r="E203">
        <v>500</v>
      </c>
      <c r="F203">
        <v>2</v>
      </c>
      <c r="G203">
        <v>1000</v>
      </c>
      <c r="H203" t="s">
        <v>57</v>
      </c>
      <c r="I203" t="s">
        <v>44</v>
      </c>
      <c r="J203" t="s">
        <v>31</v>
      </c>
      <c r="K203" t="s">
        <v>17</v>
      </c>
      <c r="L203" s="1" t="str">
        <f t="shared" si="24"/>
        <v>February</v>
      </c>
      <c r="M203" s="3">
        <f t="shared" si="25"/>
        <v>2</v>
      </c>
      <c r="N203" t="str">
        <f t="shared" si="26"/>
        <v>Q1</v>
      </c>
      <c r="O203" t="str">
        <f t="shared" si="27"/>
        <v>Low (&lt;2K)</v>
      </c>
      <c r="P203" t="str">
        <f t="shared" si="28"/>
        <v>Small (1-2)</v>
      </c>
      <c r="Q203">
        <f t="shared" si="29"/>
        <v>0</v>
      </c>
      <c r="R203">
        <f t="shared" si="30"/>
        <v>1</v>
      </c>
      <c r="S203">
        <f t="shared" si="31"/>
        <v>1000</v>
      </c>
    </row>
    <row r="204" spans="1:19" x14ac:dyDescent="0.3">
      <c r="A204" t="s">
        <v>256</v>
      </c>
      <c r="B204" s="1">
        <v>45709</v>
      </c>
      <c r="C204" t="s">
        <v>65</v>
      </c>
      <c r="D204" t="s">
        <v>61</v>
      </c>
      <c r="E204">
        <v>1200</v>
      </c>
      <c r="F204">
        <v>3</v>
      </c>
      <c r="G204">
        <v>3600</v>
      </c>
      <c r="H204" t="s">
        <v>25</v>
      </c>
      <c r="I204" t="s">
        <v>30</v>
      </c>
      <c r="J204" t="s">
        <v>16</v>
      </c>
      <c r="K204" t="s">
        <v>40</v>
      </c>
      <c r="L204" s="1" t="str">
        <f t="shared" si="24"/>
        <v>February</v>
      </c>
      <c r="M204" s="3">
        <f t="shared" si="25"/>
        <v>2</v>
      </c>
      <c r="N204" t="str">
        <f t="shared" si="26"/>
        <v>Q1</v>
      </c>
      <c r="O204" t="str">
        <f t="shared" si="27"/>
        <v>Mid (2K-5K)</v>
      </c>
      <c r="P204" t="str">
        <f t="shared" si="28"/>
        <v>Medium (3-4)</v>
      </c>
      <c r="Q204">
        <f t="shared" si="29"/>
        <v>1</v>
      </c>
      <c r="R204">
        <f t="shared" si="30"/>
        <v>0</v>
      </c>
      <c r="S204">
        <f t="shared" si="31"/>
        <v>0</v>
      </c>
    </row>
    <row r="205" spans="1:19" x14ac:dyDescent="0.3">
      <c r="A205" t="s">
        <v>257</v>
      </c>
      <c r="B205" s="1">
        <v>45724</v>
      </c>
      <c r="C205" t="s">
        <v>12</v>
      </c>
      <c r="D205" t="s">
        <v>13</v>
      </c>
      <c r="E205">
        <v>60</v>
      </c>
      <c r="F205">
        <v>5</v>
      </c>
      <c r="G205">
        <v>300</v>
      </c>
      <c r="H205" t="s">
        <v>80</v>
      </c>
      <c r="I205" t="s">
        <v>44</v>
      </c>
      <c r="J205" t="s">
        <v>58</v>
      </c>
      <c r="K205" t="s">
        <v>23</v>
      </c>
      <c r="L205" s="1" t="str">
        <f t="shared" si="24"/>
        <v>March</v>
      </c>
      <c r="M205" s="3">
        <f t="shared" si="25"/>
        <v>3</v>
      </c>
      <c r="N205" t="str">
        <f t="shared" si="26"/>
        <v>Q1</v>
      </c>
      <c r="O205" t="str">
        <f t="shared" si="27"/>
        <v>Low (&lt;2K)</v>
      </c>
      <c r="P205" t="str">
        <f t="shared" si="28"/>
        <v>Bulk (5+)</v>
      </c>
      <c r="Q205">
        <f t="shared" si="29"/>
        <v>0</v>
      </c>
      <c r="R205">
        <f t="shared" si="30"/>
        <v>0</v>
      </c>
      <c r="S205">
        <f t="shared" si="31"/>
        <v>0</v>
      </c>
    </row>
    <row r="206" spans="1:19" x14ac:dyDescent="0.3">
      <c r="A206" t="s">
        <v>258</v>
      </c>
      <c r="B206" s="1">
        <v>45715</v>
      </c>
      <c r="C206" t="s">
        <v>19</v>
      </c>
      <c r="D206" t="s">
        <v>20</v>
      </c>
      <c r="E206">
        <v>100</v>
      </c>
      <c r="F206">
        <v>2</v>
      </c>
      <c r="G206">
        <v>200</v>
      </c>
      <c r="H206" t="s">
        <v>51</v>
      </c>
      <c r="I206" t="s">
        <v>38</v>
      </c>
      <c r="J206" t="s">
        <v>39</v>
      </c>
      <c r="K206" t="s">
        <v>40</v>
      </c>
      <c r="L206" s="1" t="str">
        <f t="shared" si="24"/>
        <v>February</v>
      </c>
      <c r="M206" s="3">
        <f t="shared" si="25"/>
        <v>2</v>
      </c>
      <c r="N206" t="str">
        <f t="shared" si="26"/>
        <v>Q1</v>
      </c>
      <c r="O206" t="str">
        <f t="shared" si="27"/>
        <v>Low (&lt;2K)</v>
      </c>
      <c r="P206" t="str">
        <f t="shared" si="28"/>
        <v>Small (1-2)</v>
      </c>
      <c r="Q206">
        <f t="shared" si="29"/>
        <v>1</v>
      </c>
      <c r="R206">
        <f t="shared" si="30"/>
        <v>0</v>
      </c>
      <c r="S206">
        <f t="shared" si="31"/>
        <v>0</v>
      </c>
    </row>
    <row r="207" spans="1:19" x14ac:dyDescent="0.3">
      <c r="A207" t="s">
        <v>259</v>
      </c>
      <c r="B207" s="1">
        <v>45700</v>
      </c>
      <c r="C207" t="s">
        <v>60</v>
      </c>
      <c r="D207" t="s">
        <v>61</v>
      </c>
      <c r="E207">
        <v>600</v>
      </c>
      <c r="F207">
        <v>5</v>
      </c>
      <c r="G207">
        <v>3000</v>
      </c>
      <c r="H207" t="s">
        <v>14</v>
      </c>
      <c r="I207" t="s">
        <v>44</v>
      </c>
      <c r="J207" t="s">
        <v>27</v>
      </c>
      <c r="K207" t="s">
        <v>23</v>
      </c>
      <c r="L207" s="1" t="str">
        <f t="shared" si="24"/>
        <v>February</v>
      </c>
      <c r="M207" s="3">
        <f t="shared" si="25"/>
        <v>2</v>
      </c>
      <c r="N207" t="str">
        <f t="shared" si="26"/>
        <v>Q1</v>
      </c>
      <c r="O207" t="str">
        <f t="shared" si="27"/>
        <v>Mid (2K-5K)</v>
      </c>
      <c r="P207" t="str">
        <f t="shared" si="28"/>
        <v>Bulk (5+)</v>
      </c>
      <c r="Q207">
        <f t="shared" si="29"/>
        <v>0</v>
      </c>
      <c r="R207">
        <f t="shared" si="30"/>
        <v>0</v>
      </c>
      <c r="S207">
        <f t="shared" si="31"/>
        <v>0</v>
      </c>
    </row>
    <row r="208" spans="1:19" x14ac:dyDescent="0.3">
      <c r="A208" t="s">
        <v>260</v>
      </c>
      <c r="B208" s="1">
        <v>45737</v>
      </c>
      <c r="C208" t="s">
        <v>60</v>
      </c>
      <c r="D208" t="s">
        <v>61</v>
      </c>
      <c r="E208">
        <v>600</v>
      </c>
      <c r="F208">
        <v>1</v>
      </c>
      <c r="G208">
        <v>600</v>
      </c>
      <c r="H208" t="s">
        <v>25</v>
      </c>
      <c r="I208" t="s">
        <v>44</v>
      </c>
      <c r="J208" t="s">
        <v>31</v>
      </c>
      <c r="K208" t="s">
        <v>40</v>
      </c>
      <c r="L208" s="1" t="str">
        <f t="shared" si="24"/>
        <v>March</v>
      </c>
      <c r="M208" s="3">
        <f t="shared" si="25"/>
        <v>3</v>
      </c>
      <c r="N208" t="str">
        <f t="shared" si="26"/>
        <v>Q1</v>
      </c>
      <c r="O208" t="str">
        <f t="shared" si="27"/>
        <v>Low (&lt;2K)</v>
      </c>
      <c r="P208" t="str">
        <f t="shared" si="28"/>
        <v>Small (1-2)</v>
      </c>
      <c r="Q208">
        <f t="shared" si="29"/>
        <v>1</v>
      </c>
      <c r="R208">
        <f t="shared" si="30"/>
        <v>0</v>
      </c>
      <c r="S208">
        <f t="shared" si="31"/>
        <v>0</v>
      </c>
    </row>
    <row r="209" spans="1:19" x14ac:dyDescent="0.3">
      <c r="A209" t="s">
        <v>261</v>
      </c>
      <c r="B209" s="1">
        <v>45690</v>
      </c>
      <c r="C209" t="s">
        <v>65</v>
      </c>
      <c r="D209" t="s">
        <v>61</v>
      </c>
      <c r="E209">
        <v>1200</v>
      </c>
      <c r="F209">
        <v>3</v>
      </c>
      <c r="G209">
        <v>3600</v>
      </c>
      <c r="H209" t="s">
        <v>25</v>
      </c>
      <c r="I209" t="s">
        <v>44</v>
      </c>
      <c r="J209" t="s">
        <v>39</v>
      </c>
      <c r="K209" t="s">
        <v>40</v>
      </c>
      <c r="L209" s="1" t="str">
        <f t="shared" si="24"/>
        <v>February</v>
      </c>
      <c r="M209" s="3">
        <f t="shared" si="25"/>
        <v>2</v>
      </c>
      <c r="N209" t="str">
        <f t="shared" si="26"/>
        <v>Q1</v>
      </c>
      <c r="O209" t="str">
        <f t="shared" si="27"/>
        <v>Mid (2K-5K)</v>
      </c>
      <c r="P209" t="str">
        <f t="shared" si="28"/>
        <v>Medium (3-4)</v>
      </c>
      <c r="Q209">
        <f t="shared" si="29"/>
        <v>1</v>
      </c>
      <c r="R209">
        <f t="shared" si="30"/>
        <v>0</v>
      </c>
      <c r="S209">
        <f t="shared" si="31"/>
        <v>0</v>
      </c>
    </row>
    <row r="210" spans="1:19" x14ac:dyDescent="0.3">
      <c r="A210" t="s">
        <v>262</v>
      </c>
      <c r="B210" s="1">
        <v>45745</v>
      </c>
      <c r="C210" t="s">
        <v>53</v>
      </c>
      <c r="D210" t="s">
        <v>36</v>
      </c>
      <c r="E210">
        <v>40</v>
      </c>
      <c r="F210">
        <v>5</v>
      </c>
      <c r="G210">
        <v>200</v>
      </c>
      <c r="H210" t="s">
        <v>57</v>
      </c>
      <c r="I210" t="s">
        <v>30</v>
      </c>
      <c r="J210" t="s">
        <v>39</v>
      </c>
      <c r="K210" t="s">
        <v>40</v>
      </c>
      <c r="L210" s="1" t="str">
        <f t="shared" si="24"/>
        <v>March</v>
      </c>
      <c r="M210" s="3">
        <f t="shared" si="25"/>
        <v>3</v>
      </c>
      <c r="N210" t="str">
        <f t="shared" si="26"/>
        <v>Q1</v>
      </c>
      <c r="O210" t="str">
        <f t="shared" si="27"/>
        <v>Low (&lt;2K)</v>
      </c>
      <c r="P210" t="str">
        <f t="shared" si="28"/>
        <v>Bulk (5+)</v>
      </c>
      <c r="Q210">
        <f t="shared" si="29"/>
        <v>1</v>
      </c>
      <c r="R210">
        <f t="shared" si="30"/>
        <v>0</v>
      </c>
      <c r="S210">
        <f t="shared" si="31"/>
        <v>0</v>
      </c>
    </row>
    <row r="211" spans="1:19" x14ac:dyDescent="0.3">
      <c r="A211" t="s">
        <v>263</v>
      </c>
      <c r="B211" s="1">
        <v>45739</v>
      </c>
      <c r="C211" t="s">
        <v>56</v>
      </c>
      <c r="D211" t="s">
        <v>20</v>
      </c>
      <c r="E211">
        <v>800</v>
      </c>
      <c r="F211">
        <v>3</v>
      </c>
      <c r="G211">
        <v>2400</v>
      </c>
      <c r="H211" t="s">
        <v>80</v>
      </c>
      <c r="I211" t="s">
        <v>15</v>
      </c>
      <c r="J211" t="s">
        <v>39</v>
      </c>
      <c r="K211" t="s">
        <v>40</v>
      </c>
      <c r="L211" s="1" t="str">
        <f t="shared" si="24"/>
        <v>March</v>
      </c>
      <c r="M211" s="3">
        <f t="shared" si="25"/>
        <v>3</v>
      </c>
      <c r="N211" t="str">
        <f t="shared" si="26"/>
        <v>Q1</v>
      </c>
      <c r="O211" t="str">
        <f t="shared" si="27"/>
        <v>Mid (2K-5K)</v>
      </c>
      <c r="P211" t="str">
        <f t="shared" si="28"/>
        <v>Medium (3-4)</v>
      </c>
      <c r="Q211">
        <f t="shared" si="29"/>
        <v>1</v>
      </c>
      <c r="R211">
        <f t="shared" si="30"/>
        <v>0</v>
      </c>
      <c r="S211">
        <f t="shared" si="31"/>
        <v>0</v>
      </c>
    </row>
    <row r="212" spans="1:19" x14ac:dyDescent="0.3">
      <c r="A212" t="s">
        <v>264</v>
      </c>
      <c r="B212" s="1">
        <v>45729</v>
      </c>
      <c r="C212" t="s">
        <v>42</v>
      </c>
      <c r="D212" t="s">
        <v>20</v>
      </c>
      <c r="E212">
        <v>500</v>
      </c>
      <c r="F212">
        <v>1</v>
      </c>
      <c r="G212">
        <v>500</v>
      </c>
      <c r="H212" t="s">
        <v>51</v>
      </c>
      <c r="I212" t="s">
        <v>44</v>
      </c>
      <c r="J212" t="s">
        <v>58</v>
      </c>
      <c r="K212" t="s">
        <v>23</v>
      </c>
      <c r="L212" s="1" t="str">
        <f t="shared" si="24"/>
        <v>March</v>
      </c>
      <c r="M212" s="3">
        <f t="shared" si="25"/>
        <v>3</v>
      </c>
      <c r="N212" t="str">
        <f t="shared" si="26"/>
        <v>Q1</v>
      </c>
      <c r="O212" t="str">
        <f t="shared" si="27"/>
        <v>Low (&lt;2K)</v>
      </c>
      <c r="P212" t="str">
        <f t="shared" si="28"/>
        <v>Small (1-2)</v>
      </c>
      <c r="Q212">
        <f t="shared" si="29"/>
        <v>0</v>
      </c>
      <c r="R212">
        <f t="shared" si="30"/>
        <v>0</v>
      </c>
      <c r="S212">
        <f t="shared" si="31"/>
        <v>0</v>
      </c>
    </row>
    <row r="213" spans="1:19" x14ac:dyDescent="0.3">
      <c r="A213" t="s">
        <v>265</v>
      </c>
      <c r="B213" s="1">
        <v>45725</v>
      </c>
      <c r="C213" t="s">
        <v>35</v>
      </c>
      <c r="D213" t="s">
        <v>36</v>
      </c>
      <c r="E213">
        <v>20</v>
      </c>
      <c r="F213">
        <v>4</v>
      </c>
      <c r="G213">
        <v>80</v>
      </c>
      <c r="H213" t="s">
        <v>14</v>
      </c>
      <c r="I213" t="s">
        <v>38</v>
      </c>
      <c r="J213" t="s">
        <v>16</v>
      </c>
      <c r="K213" t="s">
        <v>40</v>
      </c>
      <c r="L213" s="1" t="str">
        <f t="shared" si="24"/>
        <v>March</v>
      </c>
      <c r="M213" s="3">
        <f t="shared" si="25"/>
        <v>3</v>
      </c>
      <c r="N213" t="str">
        <f t="shared" si="26"/>
        <v>Q1</v>
      </c>
      <c r="O213" t="str">
        <f t="shared" si="27"/>
        <v>Low (&lt;2K)</v>
      </c>
      <c r="P213" t="str">
        <f t="shared" si="28"/>
        <v>Medium (3-4)</v>
      </c>
      <c r="Q213">
        <f t="shared" si="29"/>
        <v>1</v>
      </c>
      <c r="R213">
        <f t="shared" si="30"/>
        <v>0</v>
      </c>
      <c r="S213">
        <f t="shared" si="31"/>
        <v>0</v>
      </c>
    </row>
    <row r="214" spans="1:19" x14ac:dyDescent="0.3">
      <c r="A214" t="s">
        <v>266</v>
      </c>
      <c r="B214" s="1">
        <v>45694</v>
      </c>
      <c r="C214" t="s">
        <v>56</v>
      </c>
      <c r="D214" t="s">
        <v>20</v>
      </c>
      <c r="E214">
        <v>800</v>
      </c>
      <c r="F214">
        <v>1</v>
      </c>
      <c r="G214">
        <v>800</v>
      </c>
      <c r="H214" t="s">
        <v>80</v>
      </c>
      <c r="I214" t="s">
        <v>68</v>
      </c>
      <c r="J214" t="s">
        <v>27</v>
      </c>
      <c r="K214" t="s">
        <v>17</v>
      </c>
      <c r="L214" s="1" t="str">
        <f t="shared" si="24"/>
        <v>February</v>
      </c>
      <c r="M214" s="3">
        <f t="shared" si="25"/>
        <v>2</v>
      </c>
      <c r="N214" t="str">
        <f t="shared" si="26"/>
        <v>Q1</v>
      </c>
      <c r="O214" t="str">
        <f t="shared" si="27"/>
        <v>Low (&lt;2K)</v>
      </c>
      <c r="P214" t="str">
        <f t="shared" si="28"/>
        <v>Small (1-2)</v>
      </c>
      <c r="Q214">
        <f t="shared" si="29"/>
        <v>0</v>
      </c>
      <c r="R214">
        <f t="shared" si="30"/>
        <v>1</v>
      </c>
      <c r="S214">
        <f t="shared" si="31"/>
        <v>800</v>
      </c>
    </row>
    <row r="215" spans="1:19" x14ac:dyDescent="0.3">
      <c r="A215" t="s">
        <v>267</v>
      </c>
      <c r="B215" s="1">
        <v>45706</v>
      </c>
      <c r="C215" t="s">
        <v>33</v>
      </c>
      <c r="D215" t="s">
        <v>20</v>
      </c>
      <c r="E215">
        <v>150</v>
      </c>
      <c r="F215">
        <v>5</v>
      </c>
      <c r="G215">
        <v>750</v>
      </c>
      <c r="H215" t="s">
        <v>21</v>
      </c>
      <c r="I215" t="s">
        <v>38</v>
      </c>
      <c r="J215" t="s">
        <v>16</v>
      </c>
      <c r="K215" t="s">
        <v>40</v>
      </c>
      <c r="L215" s="1" t="str">
        <f t="shared" si="24"/>
        <v>February</v>
      </c>
      <c r="M215" s="3">
        <f t="shared" si="25"/>
        <v>2</v>
      </c>
      <c r="N215" t="str">
        <f t="shared" si="26"/>
        <v>Q1</v>
      </c>
      <c r="O215" t="str">
        <f t="shared" si="27"/>
        <v>Low (&lt;2K)</v>
      </c>
      <c r="P215" t="str">
        <f t="shared" si="28"/>
        <v>Bulk (5+)</v>
      </c>
      <c r="Q215">
        <f t="shared" si="29"/>
        <v>1</v>
      </c>
      <c r="R215">
        <f t="shared" si="30"/>
        <v>0</v>
      </c>
      <c r="S215">
        <f t="shared" si="31"/>
        <v>0</v>
      </c>
    </row>
    <row r="216" spans="1:19" x14ac:dyDescent="0.3">
      <c r="A216" t="s">
        <v>268</v>
      </c>
      <c r="B216" s="1">
        <v>45723</v>
      </c>
      <c r="C216" t="s">
        <v>12</v>
      </c>
      <c r="D216" t="s">
        <v>13</v>
      </c>
      <c r="E216">
        <v>60</v>
      </c>
      <c r="F216">
        <v>1</v>
      </c>
      <c r="G216">
        <v>60</v>
      </c>
      <c r="H216" t="s">
        <v>14</v>
      </c>
      <c r="I216" t="s">
        <v>38</v>
      </c>
      <c r="J216" t="s">
        <v>39</v>
      </c>
      <c r="K216" t="s">
        <v>40</v>
      </c>
      <c r="L216" s="1" t="str">
        <f t="shared" si="24"/>
        <v>March</v>
      </c>
      <c r="M216" s="3">
        <f t="shared" si="25"/>
        <v>3</v>
      </c>
      <c r="N216" t="str">
        <f t="shared" si="26"/>
        <v>Q1</v>
      </c>
      <c r="O216" t="str">
        <f t="shared" si="27"/>
        <v>Low (&lt;2K)</v>
      </c>
      <c r="P216" t="str">
        <f t="shared" si="28"/>
        <v>Small (1-2)</v>
      </c>
      <c r="Q216">
        <f t="shared" si="29"/>
        <v>1</v>
      </c>
      <c r="R216">
        <f t="shared" si="30"/>
        <v>0</v>
      </c>
      <c r="S216">
        <f t="shared" si="31"/>
        <v>0</v>
      </c>
    </row>
    <row r="217" spans="1:19" x14ac:dyDescent="0.3">
      <c r="A217" t="s">
        <v>269</v>
      </c>
      <c r="B217" s="1">
        <v>45742</v>
      </c>
      <c r="C217" t="s">
        <v>53</v>
      </c>
      <c r="D217" t="s">
        <v>36</v>
      </c>
      <c r="E217">
        <v>40</v>
      </c>
      <c r="F217">
        <v>2</v>
      </c>
      <c r="G217">
        <v>80</v>
      </c>
      <c r="H217" t="s">
        <v>72</v>
      </c>
      <c r="I217" t="s">
        <v>81</v>
      </c>
      <c r="J217" t="s">
        <v>31</v>
      </c>
      <c r="K217" t="s">
        <v>40</v>
      </c>
      <c r="L217" s="1" t="str">
        <f t="shared" si="24"/>
        <v>March</v>
      </c>
      <c r="M217" s="3">
        <f t="shared" si="25"/>
        <v>3</v>
      </c>
      <c r="N217" t="str">
        <f t="shared" si="26"/>
        <v>Q1</v>
      </c>
      <c r="O217" t="str">
        <f t="shared" si="27"/>
        <v>Low (&lt;2K)</v>
      </c>
      <c r="P217" t="str">
        <f t="shared" si="28"/>
        <v>Small (1-2)</v>
      </c>
      <c r="Q217">
        <f t="shared" si="29"/>
        <v>1</v>
      </c>
      <c r="R217">
        <f t="shared" si="30"/>
        <v>0</v>
      </c>
      <c r="S217">
        <f t="shared" si="31"/>
        <v>0</v>
      </c>
    </row>
    <row r="218" spans="1:19" x14ac:dyDescent="0.3">
      <c r="A218" t="s">
        <v>270</v>
      </c>
      <c r="B218" s="1">
        <v>45735</v>
      </c>
      <c r="C218" t="s">
        <v>12</v>
      </c>
      <c r="D218" t="s">
        <v>13</v>
      </c>
      <c r="E218">
        <v>60</v>
      </c>
      <c r="F218">
        <v>2</v>
      </c>
      <c r="G218">
        <v>120</v>
      </c>
      <c r="H218" t="s">
        <v>14</v>
      </c>
      <c r="I218" t="s">
        <v>46</v>
      </c>
      <c r="J218" t="s">
        <v>58</v>
      </c>
      <c r="K218" t="s">
        <v>23</v>
      </c>
      <c r="L218" s="1" t="str">
        <f t="shared" si="24"/>
        <v>March</v>
      </c>
      <c r="M218" s="3">
        <f t="shared" si="25"/>
        <v>3</v>
      </c>
      <c r="N218" t="str">
        <f t="shared" si="26"/>
        <v>Q1</v>
      </c>
      <c r="O218" t="str">
        <f t="shared" si="27"/>
        <v>Low (&lt;2K)</v>
      </c>
      <c r="P218" t="str">
        <f t="shared" si="28"/>
        <v>Small (1-2)</v>
      </c>
      <c r="Q218">
        <f t="shared" si="29"/>
        <v>0</v>
      </c>
      <c r="R218">
        <f t="shared" si="30"/>
        <v>0</v>
      </c>
      <c r="S218">
        <f t="shared" si="31"/>
        <v>0</v>
      </c>
    </row>
    <row r="219" spans="1:19" x14ac:dyDescent="0.3">
      <c r="A219" t="s">
        <v>271</v>
      </c>
      <c r="B219" s="1">
        <v>45703</v>
      </c>
      <c r="C219" t="s">
        <v>19</v>
      </c>
      <c r="D219" t="s">
        <v>20</v>
      </c>
      <c r="E219">
        <v>100</v>
      </c>
      <c r="F219">
        <v>4</v>
      </c>
      <c r="G219">
        <v>400</v>
      </c>
      <c r="H219" t="s">
        <v>57</v>
      </c>
      <c r="I219" t="s">
        <v>15</v>
      </c>
      <c r="J219" t="s">
        <v>58</v>
      </c>
      <c r="K219" t="s">
        <v>17</v>
      </c>
      <c r="L219" s="1" t="str">
        <f t="shared" si="24"/>
        <v>February</v>
      </c>
      <c r="M219" s="3">
        <f t="shared" si="25"/>
        <v>2</v>
      </c>
      <c r="N219" t="str">
        <f t="shared" si="26"/>
        <v>Q1</v>
      </c>
      <c r="O219" t="str">
        <f t="shared" si="27"/>
        <v>Low (&lt;2K)</v>
      </c>
      <c r="P219" t="str">
        <f t="shared" si="28"/>
        <v>Medium (3-4)</v>
      </c>
      <c r="Q219">
        <f t="shared" si="29"/>
        <v>0</v>
      </c>
      <c r="R219">
        <f t="shared" si="30"/>
        <v>1</v>
      </c>
      <c r="S219">
        <f t="shared" si="31"/>
        <v>400</v>
      </c>
    </row>
    <row r="220" spans="1:19" x14ac:dyDescent="0.3">
      <c r="A220" t="s">
        <v>272</v>
      </c>
      <c r="B220" s="1">
        <v>45705</v>
      </c>
      <c r="C220" t="s">
        <v>19</v>
      </c>
      <c r="D220" t="s">
        <v>20</v>
      </c>
      <c r="E220">
        <v>100</v>
      </c>
      <c r="F220">
        <v>3</v>
      </c>
      <c r="G220">
        <v>300</v>
      </c>
      <c r="H220" t="s">
        <v>51</v>
      </c>
      <c r="I220" t="s">
        <v>38</v>
      </c>
      <c r="J220" t="s">
        <v>39</v>
      </c>
      <c r="K220" t="s">
        <v>17</v>
      </c>
      <c r="L220" s="1" t="str">
        <f t="shared" si="24"/>
        <v>February</v>
      </c>
      <c r="M220" s="3">
        <f t="shared" si="25"/>
        <v>2</v>
      </c>
      <c r="N220" t="str">
        <f t="shared" si="26"/>
        <v>Q1</v>
      </c>
      <c r="O220" t="str">
        <f t="shared" si="27"/>
        <v>Low (&lt;2K)</v>
      </c>
      <c r="P220" t="str">
        <f t="shared" si="28"/>
        <v>Medium (3-4)</v>
      </c>
      <c r="Q220">
        <f t="shared" si="29"/>
        <v>0</v>
      </c>
      <c r="R220">
        <f t="shared" si="30"/>
        <v>1</v>
      </c>
      <c r="S220">
        <f t="shared" si="31"/>
        <v>300</v>
      </c>
    </row>
    <row r="221" spans="1:19" x14ac:dyDescent="0.3">
      <c r="A221" t="s">
        <v>273</v>
      </c>
      <c r="B221" s="1">
        <v>45698</v>
      </c>
      <c r="C221" t="s">
        <v>33</v>
      </c>
      <c r="D221" t="s">
        <v>20</v>
      </c>
      <c r="E221">
        <v>150</v>
      </c>
      <c r="F221">
        <v>3</v>
      </c>
      <c r="G221">
        <v>450</v>
      </c>
      <c r="H221" t="s">
        <v>54</v>
      </c>
      <c r="I221" t="s">
        <v>26</v>
      </c>
      <c r="J221" t="s">
        <v>16</v>
      </c>
      <c r="K221" t="s">
        <v>40</v>
      </c>
      <c r="L221" s="1" t="str">
        <f t="shared" si="24"/>
        <v>February</v>
      </c>
      <c r="M221" s="3">
        <f t="shared" si="25"/>
        <v>2</v>
      </c>
      <c r="N221" t="str">
        <f t="shared" si="26"/>
        <v>Q1</v>
      </c>
      <c r="O221" t="str">
        <f t="shared" si="27"/>
        <v>Low (&lt;2K)</v>
      </c>
      <c r="P221" t="str">
        <f t="shared" si="28"/>
        <v>Medium (3-4)</v>
      </c>
      <c r="Q221">
        <f t="shared" si="29"/>
        <v>1</v>
      </c>
      <c r="R221">
        <f t="shared" si="30"/>
        <v>0</v>
      </c>
      <c r="S221">
        <f t="shared" si="31"/>
        <v>0</v>
      </c>
    </row>
    <row r="222" spans="1:19" x14ac:dyDescent="0.3">
      <c r="A222" t="s">
        <v>274</v>
      </c>
      <c r="B222" s="1">
        <v>45716</v>
      </c>
      <c r="C222" t="s">
        <v>60</v>
      </c>
      <c r="D222" t="s">
        <v>61</v>
      </c>
      <c r="E222">
        <v>600</v>
      </c>
      <c r="F222">
        <v>2</v>
      </c>
      <c r="G222">
        <v>1200</v>
      </c>
      <c r="H222" t="s">
        <v>21</v>
      </c>
      <c r="I222" t="s">
        <v>81</v>
      </c>
      <c r="J222" t="s">
        <v>58</v>
      </c>
      <c r="K222" t="s">
        <v>17</v>
      </c>
      <c r="L222" s="1" t="str">
        <f t="shared" si="24"/>
        <v>February</v>
      </c>
      <c r="M222" s="3">
        <f t="shared" si="25"/>
        <v>2</v>
      </c>
      <c r="N222" t="str">
        <f t="shared" si="26"/>
        <v>Q1</v>
      </c>
      <c r="O222" t="str">
        <f t="shared" si="27"/>
        <v>Low (&lt;2K)</v>
      </c>
      <c r="P222" t="str">
        <f t="shared" si="28"/>
        <v>Small (1-2)</v>
      </c>
      <c r="Q222">
        <f t="shared" si="29"/>
        <v>0</v>
      </c>
      <c r="R222">
        <f t="shared" si="30"/>
        <v>1</v>
      </c>
      <c r="S222">
        <f t="shared" si="31"/>
        <v>1200</v>
      </c>
    </row>
    <row r="223" spans="1:19" x14ac:dyDescent="0.3">
      <c r="A223" t="s">
        <v>275</v>
      </c>
      <c r="B223" s="1">
        <v>45704</v>
      </c>
      <c r="C223" t="s">
        <v>60</v>
      </c>
      <c r="D223" t="s">
        <v>61</v>
      </c>
      <c r="E223">
        <v>600</v>
      </c>
      <c r="F223">
        <v>2</v>
      </c>
      <c r="G223">
        <v>1200</v>
      </c>
      <c r="H223" t="s">
        <v>72</v>
      </c>
      <c r="I223" t="s">
        <v>63</v>
      </c>
      <c r="J223" t="s">
        <v>39</v>
      </c>
      <c r="K223" t="s">
        <v>17</v>
      </c>
      <c r="L223" s="1" t="str">
        <f t="shared" si="24"/>
        <v>February</v>
      </c>
      <c r="M223" s="3">
        <f t="shared" si="25"/>
        <v>2</v>
      </c>
      <c r="N223" t="str">
        <f t="shared" si="26"/>
        <v>Q1</v>
      </c>
      <c r="O223" t="str">
        <f t="shared" si="27"/>
        <v>Low (&lt;2K)</v>
      </c>
      <c r="P223" t="str">
        <f t="shared" si="28"/>
        <v>Small (1-2)</v>
      </c>
      <c r="Q223">
        <f t="shared" si="29"/>
        <v>0</v>
      </c>
      <c r="R223">
        <f t="shared" si="30"/>
        <v>1</v>
      </c>
      <c r="S223">
        <f t="shared" si="31"/>
        <v>1200</v>
      </c>
    </row>
    <row r="224" spans="1:19" x14ac:dyDescent="0.3">
      <c r="A224" t="s">
        <v>276</v>
      </c>
      <c r="B224" s="1">
        <v>45740</v>
      </c>
      <c r="C224" t="s">
        <v>53</v>
      </c>
      <c r="D224" t="s">
        <v>36</v>
      </c>
      <c r="E224">
        <v>40</v>
      </c>
      <c r="F224">
        <v>2</v>
      </c>
      <c r="G224">
        <v>80</v>
      </c>
      <c r="H224" t="s">
        <v>51</v>
      </c>
      <c r="I224" t="s">
        <v>26</v>
      </c>
      <c r="J224" t="s">
        <v>27</v>
      </c>
      <c r="K224" t="s">
        <v>17</v>
      </c>
      <c r="L224" s="1" t="str">
        <f t="shared" si="24"/>
        <v>March</v>
      </c>
      <c r="M224" s="3">
        <f t="shared" si="25"/>
        <v>3</v>
      </c>
      <c r="N224" t="str">
        <f t="shared" si="26"/>
        <v>Q1</v>
      </c>
      <c r="O224" t="str">
        <f t="shared" si="27"/>
        <v>Low (&lt;2K)</v>
      </c>
      <c r="P224" t="str">
        <f t="shared" si="28"/>
        <v>Small (1-2)</v>
      </c>
      <c r="Q224">
        <f t="shared" si="29"/>
        <v>0</v>
      </c>
      <c r="R224">
        <f t="shared" si="30"/>
        <v>1</v>
      </c>
      <c r="S224">
        <f t="shared" si="31"/>
        <v>80</v>
      </c>
    </row>
    <row r="225" spans="1:19" x14ac:dyDescent="0.3">
      <c r="A225" t="s">
        <v>277</v>
      </c>
      <c r="B225" s="1">
        <v>45734</v>
      </c>
      <c r="C225" t="s">
        <v>65</v>
      </c>
      <c r="D225" t="s">
        <v>61</v>
      </c>
      <c r="E225">
        <v>1200</v>
      </c>
      <c r="F225">
        <v>1</v>
      </c>
      <c r="G225">
        <v>1200</v>
      </c>
      <c r="H225" t="s">
        <v>80</v>
      </c>
      <c r="I225" t="s">
        <v>44</v>
      </c>
      <c r="J225" t="s">
        <v>39</v>
      </c>
      <c r="K225" t="s">
        <v>40</v>
      </c>
      <c r="L225" s="1" t="str">
        <f t="shared" si="24"/>
        <v>March</v>
      </c>
      <c r="M225" s="3">
        <f t="shared" si="25"/>
        <v>3</v>
      </c>
      <c r="N225" t="str">
        <f t="shared" si="26"/>
        <v>Q1</v>
      </c>
      <c r="O225" t="str">
        <f t="shared" si="27"/>
        <v>Low (&lt;2K)</v>
      </c>
      <c r="P225" t="str">
        <f t="shared" si="28"/>
        <v>Small (1-2)</v>
      </c>
      <c r="Q225">
        <f t="shared" si="29"/>
        <v>1</v>
      </c>
      <c r="R225">
        <f t="shared" si="30"/>
        <v>0</v>
      </c>
      <c r="S225">
        <f t="shared" si="31"/>
        <v>0</v>
      </c>
    </row>
    <row r="226" spans="1:19" x14ac:dyDescent="0.3">
      <c r="A226" t="s">
        <v>278</v>
      </c>
      <c r="B226" s="1">
        <v>45727</v>
      </c>
      <c r="C226" t="s">
        <v>53</v>
      </c>
      <c r="D226" t="s">
        <v>36</v>
      </c>
      <c r="E226">
        <v>40</v>
      </c>
      <c r="F226">
        <v>1</v>
      </c>
      <c r="G226">
        <v>40</v>
      </c>
      <c r="H226" t="s">
        <v>43</v>
      </c>
      <c r="I226" t="s">
        <v>15</v>
      </c>
      <c r="J226" t="s">
        <v>58</v>
      </c>
      <c r="K226" t="s">
        <v>17</v>
      </c>
      <c r="L226" s="1" t="str">
        <f t="shared" si="24"/>
        <v>March</v>
      </c>
      <c r="M226" s="3">
        <f t="shared" si="25"/>
        <v>3</v>
      </c>
      <c r="N226" t="str">
        <f t="shared" si="26"/>
        <v>Q1</v>
      </c>
      <c r="O226" t="str">
        <f t="shared" si="27"/>
        <v>Low (&lt;2K)</v>
      </c>
      <c r="P226" t="str">
        <f t="shared" si="28"/>
        <v>Small (1-2)</v>
      </c>
      <c r="Q226">
        <f t="shared" si="29"/>
        <v>0</v>
      </c>
      <c r="R226">
        <f t="shared" si="30"/>
        <v>1</v>
      </c>
      <c r="S226">
        <f t="shared" si="31"/>
        <v>40</v>
      </c>
    </row>
    <row r="227" spans="1:19" x14ac:dyDescent="0.3">
      <c r="A227" t="s">
        <v>279</v>
      </c>
      <c r="B227" s="1">
        <v>45721</v>
      </c>
      <c r="C227" t="s">
        <v>12</v>
      </c>
      <c r="D227" t="s">
        <v>13</v>
      </c>
      <c r="E227">
        <v>60</v>
      </c>
      <c r="F227">
        <v>4</v>
      </c>
      <c r="G227">
        <v>240</v>
      </c>
      <c r="H227" t="s">
        <v>72</v>
      </c>
      <c r="I227" t="s">
        <v>81</v>
      </c>
      <c r="J227" t="s">
        <v>27</v>
      </c>
      <c r="K227" t="s">
        <v>40</v>
      </c>
      <c r="L227" s="1" t="str">
        <f t="shared" si="24"/>
        <v>March</v>
      </c>
      <c r="M227" s="3">
        <f t="shared" si="25"/>
        <v>3</v>
      </c>
      <c r="N227" t="str">
        <f t="shared" si="26"/>
        <v>Q1</v>
      </c>
      <c r="O227" t="str">
        <f t="shared" si="27"/>
        <v>Low (&lt;2K)</v>
      </c>
      <c r="P227" t="str">
        <f t="shared" si="28"/>
        <v>Medium (3-4)</v>
      </c>
      <c r="Q227">
        <f t="shared" si="29"/>
        <v>1</v>
      </c>
      <c r="R227">
        <f t="shared" si="30"/>
        <v>0</v>
      </c>
      <c r="S227">
        <f t="shared" si="31"/>
        <v>0</v>
      </c>
    </row>
    <row r="228" spans="1:19" x14ac:dyDescent="0.3">
      <c r="A228" t="s">
        <v>280</v>
      </c>
      <c r="B228" s="1">
        <v>45749</v>
      </c>
      <c r="C228" t="s">
        <v>19</v>
      </c>
      <c r="D228" t="s">
        <v>20</v>
      </c>
      <c r="E228">
        <v>100</v>
      </c>
      <c r="F228">
        <v>5</v>
      </c>
      <c r="G228">
        <v>500</v>
      </c>
      <c r="H228" t="s">
        <v>14</v>
      </c>
      <c r="I228" t="s">
        <v>44</v>
      </c>
      <c r="J228" t="s">
        <v>27</v>
      </c>
      <c r="K228" t="s">
        <v>17</v>
      </c>
      <c r="L228" s="1" t="str">
        <f t="shared" si="24"/>
        <v>April</v>
      </c>
      <c r="M228" s="3">
        <f t="shared" si="25"/>
        <v>4</v>
      </c>
      <c r="N228" t="str">
        <f t="shared" si="26"/>
        <v>Q2</v>
      </c>
      <c r="O228" t="str">
        <f t="shared" si="27"/>
        <v>Low (&lt;2K)</v>
      </c>
      <c r="P228" t="str">
        <f t="shared" si="28"/>
        <v>Bulk (5+)</v>
      </c>
      <c r="Q228">
        <f t="shared" si="29"/>
        <v>0</v>
      </c>
      <c r="R228">
        <f t="shared" si="30"/>
        <v>1</v>
      </c>
      <c r="S228">
        <f t="shared" si="31"/>
        <v>500</v>
      </c>
    </row>
    <row r="229" spans="1:19" x14ac:dyDescent="0.3">
      <c r="A229" t="s">
        <v>281</v>
      </c>
      <c r="B229" s="1">
        <v>45700</v>
      </c>
      <c r="C229" t="s">
        <v>12</v>
      </c>
      <c r="D229" t="s">
        <v>13</v>
      </c>
      <c r="E229">
        <v>60</v>
      </c>
      <c r="F229">
        <v>1</v>
      </c>
      <c r="G229">
        <v>60</v>
      </c>
      <c r="H229" t="s">
        <v>51</v>
      </c>
      <c r="I229" t="s">
        <v>22</v>
      </c>
      <c r="J229" t="s">
        <v>31</v>
      </c>
      <c r="K229" t="s">
        <v>23</v>
      </c>
      <c r="L229" s="1" t="str">
        <f t="shared" si="24"/>
        <v>February</v>
      </c>
      <c r="M229" s="3">
        <f t="shared" si="25"/>
        <v>2</v>
      </c>
      <c r="N229" t="str">
        <f t="shared" si="26"/>
        <v>Q1</v>
      </c>
      <c r="O229" t="str">
        <f t="shared" si="27"/>
        <v>Low (&lt;2K)</v>
      </c>
      <c r="P229" t="str">
        <f t="shared" si="28"/>
        <v>Small (1-2)</v>
      </c>
      <c r="Q229">
        <f t="shared" si="29"/>
        <v>0</v>
      </c>
      <c r="R229">
        <f t="shared" si="30"/>
        <v>0</v>
      </c>
      <c r="S229">
        <f t="shared" si="31"/>
        <v>0</v>
      </c>
    </row>
    <row r="230" spans="1:19" x14ac:dyDescent="0.3">
      <c r="A230" t="s">
        <v>282</v>
      </c>
      <c r="B230" s="1">
        <v>45737</v>
      </c>
      <c r="C230" t="s">
        <v>12</v>
      </c>
      <c r="D230" t="s">
        <v>13</v>
      </c>
      <c r="E230">
        <v>60</v>
      </c>
      <c r="F230">
        <v>3</v>
      </c>
      <c r="G230">
        <v>180</v>
      </c>
      <c r="H230" t="s">
        <v>14</v>
      </c>
      <c r="I230" t="s">
        <v>22</v>
      </c>
      <c r="J230" t="s">
        <v>31</v>
      </c>
      <c r="K230" t="s">
        <v>23</v>
      </c>
      <c r="L230" s="1" t="str">
        <f t="shared" si="24"/>
        <v>March</v>
      </c>
      <c r="M230" s="3">
        <f t="shared" si="25"/>
        <v>3</v>
      </c>
      <c r="N230" t="str">
        <f t="shared" si="26"/>
        <v>Q1</v>
      </c>
      <c r="O230" t="str">
        <f t="shared" si="27"/>
        <v>Low (&lt;2K)</v>
      </c>
      <c r="P230" t="str">
        <f t="shared" si="28"/>
        <v>Medium (3-4)</v>
      </c>
      <c r="Q230">
        <f t="shared" si="29"/>
        <v>0</v>
      </c>
      <c r="R230">
        <f t="shared" si="30"/>
        <v>0</v>
      </c>
      <c r="S230">
        <f t="shared" si="31"/>
        <v>0</v>
      </c>
    </row>
    <row r="231" spans="1:19" x14ac:dyDescent="0.3">
      <c r="A231" t="s">
        <v>283</v>
      </c>
      <c r="B231" s="1">
        <v>45747</v>
      </c>
      <c r="C231" t="s">
        <v>19</v>
      </c>
      <c r="D231" t="s">
        <v>20</v>
      </c>
      <c r="E231">
        <v>100</v>
      </c>
      <c r="F231">
        <v>4</v>
      </c>
      <c r="G231">
        <v>400</v>
      </c>
      <c r="H231" t="s">
        <v>80</v>
      </c>
      <c r="I231" t="s">
        <v>22</v>
      </c>
      <c r="J231" t="s">
        <v>27</v>
      </c>
      <c r="K231" t="s">
        <v>23</v>
      </c>
      <c r="L231" s="1" t="str">
        <f t="shared" si="24"/>
        <v>March</v>
      </c>
      <c r="M231" s="3">
        <f t="shared" si="25"/>
        <v>3</v>
      </c>
      <c r="N231" t="str">
        <f t="shared" si="26"/>
        <v>Q1</v>
      </c>
      <c r="O231" t="str">
        <f t="shared" si="27"/>
        <v>Low (&lt;2K)</v>
      </c>
      <c r="P231" t="str">
        <f t="shared" si="28"/>
        <v>Medium (3-4)</v>
      </c>
      <c r="Q231">
        <f t="shared" si="29"/>
        <v>0</v>
      </c>
      <c r="R231">
        <f t="shared" si="30"/>
        <v>0</v>
      </c>
      <c r="S231">
        <f t="shared" si="31"/>
        <v>0</v>
      </c>
    </row>
    <row r="232" spans="1:19" x14ac:dyDescent="0.3">
      <c r="A232" t="s">
        <v>284</v>
      </c>
      <c r="B232" s="1">
        <v>45704</v>
      </c>
      <c r="C232" t="s">
        <v>56</v>
      </c>
      <c r="D232" t="s">
        <v>20</v>
      </c>
      <c r="E232">
        <v>800</v>
      </c>
      <c r="F232">
        <v>5</v>
      </c>
      <c r="G232">
        <v>4000</v>
      </c>
      <c r="H232" t="s">
        <v>80</v>
      </c>
      <c r="I232" t="s">
        <v>46</v>
      </c>
      <c r="J232" t="s">
        <v>31</v>
      </c>
      <c r="K232" t="s">
        <v>17</v>
      </c>
      <c r="L232" s="1" t="str">
        <f t="shared" si="24"/>
        <v>February</v>
      </c>
      <c r="M232" s="3">
        <f t="shared" si="25"/>
        <v>2</v>
      </c>
      <c r="N232" t="str">
        <f t="shared" si="26"/>
        <v>Q1</v>
      </c>
      <c r="O232" t="str">
        <f t="shared" si="27"/>
        <v>Mid (2K-5K)</v>
      </c>
      <c r="P232" t="str">
        <f t="shared" si="28"/>
        <v>Bulk (5+)</v>
      </c>
      <c r="Q232">
        <f t="shared" si="29"/>
        <v>0</v>
      </c>
      <c r="R232">
        <f t="shared" si="30"/>
        <v>1</v>
      </c>
      <c r="S232">
        <f t="shared" si="31"/>
        <v>4000</v>
      </c>
    </row>
    <row r="233" spans="1:19" x14ac:dyDescent="0.3">
      <c r="A233" t="s">
        <v>285</v>
      </c>
      <c r="B233" s="1">
        <v>45730</v>
      </c>
      <c r="C233" t="s">
        <v>65</v>
      </c>
      <c r="D233" t="s">
        <v>61</v>
      </c>
      <c r="E233">
        <v>1200</v>
      </c>
      <c r="F233">
        <v>3</v>
      </c>
      <c r="G233">
        <v>3600</v>
      </c>
      <c r="H233" t="s">
        <v>14</v>
      </c>
      <c r="I233" t="s">
        <v>68</v>
      </c>
      <c r="J233" t="s">
        <v>31</v>
      </c>
      <c r="K233" t="s">
        <v>40</v>
      </c>
      <c r="L233" s="1" t="str">
        <f t="shared" si="24"/>
        <v>March</v>
      </c>
      <c r="M233" s="3">
        <f t="shared" si="25"/>
        <v>3</v>
      </c>
      <c r="N233" t="str">
        <f t="shared" si="26"/>
        <v>Q1</v>
      </c>
      <c r="O233" t="str">
        <f t="shared" si="27"/>
        <v>Mid (2K-5K)</v>
      </c>
      <c r="P233" t="str">
        <f t="shared" si="28"/>
        <v>Medium (3-4)</v>
      </c>
      <c r="Q233">
        <f t="shared" si="29"/>
        <v>1</v>
      </c>
      <c r="R233">
        <f t="shared" si="30"/>
        <v>0</v>
      </c>
      <c r="S233">
        <f t="shared" si="31"/>
        <v>0</v>
      </c>
    </row>
    <row r="234" spans="1:19" x14ac:dyDescent="0.3">
      <c r="A234" t="s">
        <v>286</v>
      </c>
      <c r="B234" s="1">
        <v>45708</v>
      </c>
      <c r="C234" t="s">
        <v>12</v>
      </c>
      <c r="D234" t="s">
        <v>13</v>
      </c>
      <c r="E234">
        <v>60</v>
      </c>
      <c r="F234">
        <v>1</v>
      </c>
      <c r="G234">
        <v>60</v>
      </c>
      <c r="H234" t="s">
        <v>51</v>
      </c>
      <c r="I234" t="s">
        <v>46</v>
      </c>
      <c r="J234" t="s">
        <v>39</v>
      </c>
      <c r="K234" t="s">
        <v>17</v>
      </c>
      <c r="L234" s="1" t="str">
        <f t="shared" si="24"/>
        <v>February</v>
      </c>
      <c r="M234" s="3">
        <f t="shared" si="25"/>
        <v>2</v>
      </c>
      <c r="N234" t="str">
        <f t="shared" si="26"/>
        <v>Q1</v>
      </c>
      <c r="O234" t="str">
        <f t="shared" si="27"/>
        <v>Low (&lt;2K)</v>
      </c>
      <c r="P234" t="str">
        <f t="shared" si="28"/>
        <v>Small (1-2)</v>
      </c>
      <c r="Q234">
        <f t="shared" si="29"/>
        <v>0</v>
      </c>
      <c r="R234">
        <f t="shared" si="30"/>
        <v>1</v>
      </c>
      <c r="S234">
        <f t="shared" si="31"/>
        <v>60</v>
      </c>
    </row>
    <row r="235" spans="1:19" x14ac:dyDescent="0.3">
      <c r="A235" t="s">
        <v>287</v>
      </c>
      <c r="B235" s="1">
        <v>45724</v>
      </c>
      <c r="C235" t="s">
        <v>49</v>
      </c>
      <c r="D235" t="s">
        <v>50</v>
      </c>
      <c r="E235">
        <v>15</v>
      </c>
      <c r="F235">
        <v>1</v>
      </c>
      <c r="G235">
        <v>15</v>
      </c>
      <c r="H235" t="s">
        <v>80</v>
      </c>
      <c r="I235" t="s">
        <v>44</v>
      </c>
      <c r="J235" t="s">
        <v>27</v>
      </c>
      <c r="K235" t="s">
        <v>17</v>
      </c>
      <c r="L235" s="1" t="str">
        <f t="shared" si="24"/>
        <v>March</v>
      </c>
      <c r="M235" s="3">
        <f t="shared" si="25"/>
        <v>3</v>
      </c>
      <c r="N235" t="str">
        <f t="shared" si="26"/>
        <v>Q1</v>
      </c>
      <c r="O235" t="str">
        <f t="shared" si="27"/>
        <v>Low (&lt;2K)</v>
      </c>
      <c r="P235" t="str">
        <f t="shared" si="28"/>
        <v>Small (1-2)</v>
      </c>
      <c r="Q235">
        <f t="shared" si="29"/>
        <v>0</v>
      </c>
      <c r="R235">
        <f t="shared" si="30"/>
        <v>1</v>
      </c>
      <c r="S235">
        <f t="shared" si="31"/>
        <v>15</v>
      </c>
    </row>
    <row r="236" spans="1:19" x14ac:dyDescent="0.3">
      <c r="A236" t="s">
        <v>288</v>
      </c>
      <c r="B236" s="1">
        <v>45739</v>
      </c>
      <c r="C236" t="s">
        <v>65</v>
      </c>
      <c r="D236" t="s">
        <v>61</v>
      </c>
      <c r="E236">
        <v>1200</v>
      </c>
      <c r="F236">
        <v>1</v>
      </c>
      <c r="G236">
        <v>1200</v>
      </c>
      <c r="H236" t="s">
        <v>57</v>
      </c>
      <c r="I236" t="s">
        <v>30</v>
      </c>
      <c r="J236" t="s">
        <v>39</v>
      </c>
      <c r="K236" t="s">
        <v>40</v>
      </c>
      <c r="L236" s="1" t="str">
        <f t="shared" si="24"/>
        <v>March</v>
      </c>
      <c r="M236" s="3">
        <f t="shared" si="25"/>
        <v>3</v>
      </c>
      <c r="N236" t="str">
        <f t="shared" si="26"/>
        <v>Q1</v>
      </c>
      <c r="O236" t="str">
        <f t="shared" si="27"/>
        <v>Low (&lt;2K)</v>
      </c>
      <c r="P236" t="str">
        <f t="shared" si="28"/>
        <v>Small (1-2)</v>
      </c>
      <c r="Q236">
        <f t="shared" si="29"/>
        <v>1</v>
      </c>
      <c r="R236">
        <f t="shared" si="30"/>
        <v>0</v>
      </c>
      <c r="S236">
        <f t="shared" si="31"/>
        <v>0</v>
      </c>
    </row>
    <row r="237" spans="1:19" x14ac:dyDescent="0.3">
      <c r="A237" t="s">
        <v>289</v>
      </c>
      <c r="B237" s="1">
        <v>45721</v>
      </c>
      <c r="C237" t="s">
        <v>42</v>
      </c>
      <c r="D237" t="s">
        <v>20</v>
      </c>
      <c r="E237">
        <v>500</v>
      </c>
      <c r="F237">
        <v>5</v>
      </c>
      <c r="G237">
        <v>2500</v>
      </c>
      <c r="H237" t="s">
        <v>25</v>
      </c>
      <c r="I237" t="s">
        <v>46</v>
      </c>
      <c r="J237" t="s">
        <v>39</v>
      </c>
      <c r="K237" t="s">
        <v>40</v>
      </c>
      <c r="L237" s="1" t="str">
        <f t="shared" si="24"/>
        <v>March</v>
      </c>
      <c r="M237" s="3">
        <f t="shared" si="25"/>
        <v>3</v>
      </c>
      <c r="N237" t="str">
        <f t="shared" si="26"/>
        <v>Q1</v>
      </c>
      <c r="O237" t="str">
        <f t="shared" si="27"/>
        <v>Mid (2K-5K)</v>
      </c>
      <c r="P237" t="str">
        <f t="shared" si="28"/>
        <v>Bulk (5+)</v>
      </c>
      <c r="Q237">
        <f t="shared" si="29"/>
        <v>1</v>
      </c>
      <c r="R237">
        <f t="shared" si="30"/>
        <v>0</v>
      </c>
      <c r="S237">
        <f t="shared" si="31"/>
        <v>0</v>
      </c>
    </row>
    <row r="238" spans="1:19" x14ac:dyDescent="0.3">
      <c r="A238" t="s">
        <v>290</v>
      </c>
      <c r="B238" s="1">
        <v>45699</v>
      </c>
      <c r="C238" t="s">
        <v>19</v>
      </c>
      <c r="D238" t="s">
        <v>20</v>
      </c>
      <c r="E238">
        <v>100</v>
      </c>
      <c r="F238">
        <v>3</v>
      </c>
      <c r="G238">
        <v>300</v>
      </c>
      <c r="H238" t="s">
        <v>54</v>
      </c>
      <c r="I238" t="s">
        <v>38</v>
      </c>
      <c r="J238" t="s">
        <v>16</v>
      </c>
      <c r="K238" t="s">
        <v>17</v>
      </c>
      <c r="L238" s="1" t="str">
        <f t="shared" si="24"/>
        <v>February</v>
      </c>
      <c r="M238" s="3">
        <f t="shared" si="25"/>
        <v>2</v>
      </c>
      <c r="N238" t="str">
        <f t="shared" si="26"/>
        <v>Q1</v>
      </c>
      <c r="O238" t="str">
        <f t="shared" si="27"/>
        <v>Low (&lt;2K)</v>
      </c>
      <c r="P238" t="str">
        <f t="shared" si="28"/>
        <v>Medium (3-4)</v>
      </c>
      <c r="Q238">
        <f t="shared" si="29"/>
        <v>0</v>
      </c>
      <c r="R238">
        <f t="shared" si="30"/>
        <v>1</v>
      </c>
      <c r="S238">
        <f t="shared" si="31"/>
        <v>300</v>
      </c>
    </row>
    <row r="239" spans="1:19" x14ac:dyDescent="0.3">
      <c r="A239" t="s">
        <v>291</v>
      </c>
      <c r="B239" s="1">
        <v>45732</v>
      </c>
      <c r="C239" t="s">
        <v>19</v>
      </c>
      <c r="D239" t="s">
        <v>20</v>
      </c>
      <c r="E239">
        <v>100</v>
      </c>
      <c r="F239">
        <v>1</v>
      </c>
      <c r="G239">
        <v>100</v>
      </c>
      <c r="H239" t="s">
        <v>29</v>
      </c>
      <c r="I239" t="s">
        <v>26</v>
      </c>
      <c r="J239" t="s">
        <v>39</v>
      </c>
      <c r="K239" t="s">
        <v>40</v>
      </c>
      <c r="L239" s="1" t="str">
        <f t="shared" si="24"/>
        <v>March</v>
      </c>
      <c r="M239" s="3">
        <f t="shared" si="25"/>
        <v>3</v>
      </c>
      <c r="N239" t="str">
        <f t="shared" si="26"/>
        <v>Q1</v>
      </c>
      <c r="O239" t="str">
        <f t="shared" si="27"/>
        <v>Low (&lt;2K)</v>
      </c>
      <c r="P239" t="str">
        <f t="shared" si="28"/>
        <v>Small (1-2)</v>
      </c>
      <c r="Q239">
        <f t="shared" si="29"/>
        <v>1</v>
      </c>
      <c r="R239">
        <f t="shared" si="30"/>
        <v>0</v>
      </c>
      <c r="S239">
        <f t="shared" si="31"/>
        <v>0</v>
      </c>
    </row>
    <row r="240" spans="1:19" x14ac:dyDescent="0.3">
      <c r="A240" t="s">
        <v>292</v>
      </c>
      <c r="B240" s="1">
        <v>45738</v>
      </c>
      <c r="C240" t="s">
        <v>33</v>
      </c>
      <c r="D240" t="s">
        <v>20</v>
      </c>
      <c r="E240">
        <v>150</v>
      </c>
      <c r="F240">
        <v>5</v>
      </c>
      <c r="G240">
        <v>750</v>
      </c>
      <c r="H240" t="s">
        <v>57</v>
      </c>
      <c r="I240" t="s">
        <v>38</v>
      </c>
      <c r="J240" t="s">
        <v>27</v>
      </c>
      <c r="K240" t="s">
        <v>40</v>
      </c>
      <c r="L240" s="1" t="str">
        <f t="shared" si="24"/>
        <v>March</v>
      </c>
      <c r="M240" s="3">
        <f t="shared" si="25"/>
        <v>3</v>
      </c>
      <c r="N240" t="str">
        <f t="shared" si="26"/>
        <v>Q1</v>
      </c>
      <c r="O240" t="str">
        <f t="shared" si="27"/>
        <v>Low (&lt;2K)</v>
      </c>
      <c r="P240" t="str">
        <f t="shared" si="28"/>
        <v>Bulk (5+)</v>
      </c>
      <c r="Q240">
        <f t="shared" si="29"/>
        <v>1</v>
      </c>
      <c r="R240">
        <f t="shared" si="30"/>
        <v>0</v>
      </c>
      <c r="S240">
        <f t="shared" si="31"/>
        <v>0</v>
      </c>
    </row>
    <row r="241" spans="1:19" x14ac:dyDescent="0.3">
      <c r="A241" t="s">
        <v>293</v>
      </c>
      <c r="B241" s="1">
        <v>45697</v>
      </c>
      <c r="C241" t="s">
        <v>33</v>
      </c>
      <c r="D241" t="s">
        <v>20</v>
      </c>
      <c r="E241">
        <v>150</v>
      </c>
      <c r="F241">
        <v>1</v>
      </c>
      <c r="G241">
        <v>150</v>
      </c>
      <c r="H241" t="s">
        <v>25</v>
      </c>
      <c r="I241" t="s">
        <v>26</v>
      </c>
      <c r="J241" t="s">
        <v>58</v>
      </c>
      <c r="K241" t="s">
        <v>23</v>
      </c>
      <c r="L241" s="1" t="str">
        <f t="shared" si="24"/>
        <v>February</v>
      </c>
      <c r="M241" s="3">
        <f t="shared" si="25"/>
        <v>2</v>
      </c>
      <c r="N241" t="str">
        <f t="shared" si="26"/>
        <v>Q1</v>
      </c>
      <c r="O241" t="str">
        <f t="shared" si="27"/>
        <v>Low (&lt;2K)</v>
      </c>
      <c r="P241" t="str">
        <f t="shared" si="28"/>
        <v>Small (1-2)</v>
      </c>
      <c r="Q241">
        <f t="shared" si="29"/>
        <v>0</v>
      </c>
      <c r="R241">
        <f t="shared" si="30"/>
        <v>0</v>
      </c>
      <c r="S241">
        <f t="shared" si="31"/>
        <v>0</v>
      </c>
    </row>
    <row r="242" spans="1:19" x14ac:dyDescent="0.3">
      <c r="A242" t="s">
        <v>294</v>
      </c>
      <c r="B242" s="1">
        <v>45746</v>
      </c>
      <c r="C242" t="s">
        <v>42</v>
      </c>
      <c r="D242" t="s">
        <v>20</v>
      </c>
      <c r="E242">
        <v>500</v>
      </c>
      <c r="F242">
        <v>4</v>
      </c>
      <c r="G242">
        <v>2000</v>
      </c>
      <c r="H242" t="s">
        <v>29</v>
      </c>
      <c r="I242" t="s">
        <v>15</v>
      </c>
      <c r="J242" t="s">
        <v>31</v>
      </c>
      <c r="K242" t="s">
        <v>23</v>
      </c>
      <c r="L242" s="1" t="str">
        <f t="shared" si="24"/>
        <v>March</v>
      </c>
      <c r="M242" s="3">
        <f t="shared" si="25"/>
        <v>3</v>
      </c>
      <c r="N242" t="str">
        <f t="shared" si="26"/>
        <v>Q1</v>
      </c>
      <c r="O242" t="str">
        <f t="shared" si="27"/>
        <v>Mid (2K-5K)</v>
      </c>
      <c r="P242" t="str">
        <f t="shared" si="28"/>
        <v>Medium (3-4)</v>
      </c>
      <c r="Q242">
        <f t="shared" si="29"/>
        <v>0</v>
      </c>
      <c r="R242">
        <f t="shared" si="30"/>
        <v>0</v>
      </c>
      <c r="S242">
        <f t="shared" si="31"/>
        <v>0</v>
      </c>
    </row>
    <row r="243" spans="1:19" x14ac:dyDescent="0.3">
      <c r="A243" t="s">
        <v>295</v>
      </c>
      <c r="B243" s="1">
        <v>45724</v>
      </c>
      <c r="C243" t="s">
        <v>42</v>
      </c>
      <c r="D243" t="s">
        <v>20</v>
      </c>
      <c r="E243">
        <v>500</v>
      </c>
      <c r="F243">
        <v>4</v>
      </c>
      <c r="G243">
        <v>2000</v>
      </c>
      <c r="H243" t="s">
        <v>72</v>
      </c>
      <c r="I243" t="s">
        <v>46</v>
      </c>
      <c r="J243" t="s">
        <v>58</v>
      </c>
      <c r="K243" t="s">
        <v>23</v>
      </c>
      <c r="L243" s="1" t="str">
        <f t="shared" si="24"/>
        <v>March</v>
      </c>
      <c r="M243" s="3">
        <f t="shared" si="25"/>
        <v>3</v>
      </c>
      <c r="N243" t="str">
        <f t="shared" si="26"/>
        <v>Q1</v>
      </c>
      <c r="O243" t="str">
        <f t="shared" si="27"/>
        <v>Mid (2K-5K)</v>
      </c>
      <c r="P243" t="str">
        <f t="shared" si="28"/>
        <v>Medium (3-4)</v>
      </c>
      <c r="Q243">
        <f t="shared" si="29"/>
        <v>0</v>
      </c>
      <c r="R243">
        <f t="shared" si="30"/>
        <v>0</v>
      </c>
      <c r="S243">
        <f t="shared" si="31"/>
        <v>0</v>
      </c>
    </row>
    <row r="244" spans="1:19" x14ac:dyDescent="0.3">
      <c r="A244" t="s">
        <v>296</v>
      </c>
      <c r="B244" s="1">
        <v>45721</v>
      </c>
      <c r="C244" t="s">
        <v>12</v>
      </c>
      <c r="D244" t="s">
        <v>13</v>
      </c>
      <c r="E244">
        <v>60</v>
      </c>
      <c r="F244">
        <v>2</v>
      </c>
      <c r="G244">
        <v>120</v>
      </c>
      <c r="H244" t="s">
        <v>72</v>
      </c>
      <c r="I244" t="s">
        <v>38</v>
      </c>
      <c r="J244" t="s">
        <v>27</v>
      </c>
      <c r="K244" t="s">
        <v>40</v>
      </c>
      <c r="L244" s="1" t="str">
        <f t="shared" si="24"/>
        <v>March</v>
      </c>
      <c r="M244" s="3">
        <f t="shared" si="25"/>
        <v>3</v>
      </c>
      <c r="N244" t="str">
        <f t="shared" si="26"/>
        <v>Q1</v>
      </c>
      <c r="O244" t="str">
        <f t="shared" si="27"/>
        <v>Low (&lt;2K)</v>
      </c>
      <c r="P244" t="str">
        <f t="shared" si="28"/>
        <v>Small (1-2)</v>
      </c>
      <c r="Q244">
        <f t="shared" si="29"/>
        <v>1</v>
      </c>
      <c r="R244">
        <f t="shared" si="30"/>
        <v>0</v>
      </c>
      <c r="S244">
        <f t="shared" si="31"/>
        <v>0</v>
      </c>
    </row>
    <row r="245" spans="1:19" x14ac:dyDescent="0.3">
      <c r="A245" t="s">
        <v>297</v>
      </c>
      <c r="B245" s="1">
        <v>45694</v>
      </c>
      <c r="C245" t="s">
        <v>42</v>
      </c>
      <c r="D245" t="s">
        <v>20</v>
      </c>
      <c r="E245">
        <v>500</v>
      </c>
      <c r="F245">
        <v>4</v>
      </c>
      <c r="G245">
        <v>2000</v>
      </c>
      <c r="H245" t="s">
        <v>14</v>
      </c>
      <c r="I245" t="s">
        <v>38</v>
      </c>
      <c r="J245" t="s">
        <v>31</v>
      </c>
      <c r="K245" t="s">
        <v>40</v>
      </c>
      <c r="L245" s="1" t="str">
        <f t="shared" si="24"/>
        <v>February</v>
      </c>
      <c r="M245" s="3">
        <f t="shared" si="25"/>
        <v>2</v>
      </c>
      <c r="N245" t="str">
        <f t="shared" si="26"/>
        <v>Q1</v>
      </c>
      <c r="O245" t="str">
        <f t="shared" si="27"/>
        <v>Mid (2K-5K)</v>
      </c>
      <c r="P245" t="str">
        <f t="shared" si="28"/>
        <v>Medium (3-4)</v>
      </c>
      <c r="Q245">
        <f t="shared" si="29"/>
        <v>1</v>
      </c>
      <c r="R245">
        <f t="shared" si="30"/>
        <v>0</v>
      </c>
      <c r="S245">
        <f t="shared" si="31"/>
        <v>0</v>
      </c>
    </row>
    <row r="246" spans="1:19" x14ac:dyDescent="0.3">
      <c r="A246" t="s">
        <v>298</v>
      </c>
      <c r="B246" s="1">
        <v>45692</v>
      </c>
      <c r="C246" t="s">
        <v>56</v>
      </c>
      <c r="D246" t="s">
        <v>20</v>
      </c>
      <c r="E246">
        <v>800</v>
      </c>
      <c r="F246">
        <v>1</v>
      </c>
      <c r="G246">
        <v>800</v>
      </c>
      <c r="H246" t="s">
        <v>54</v>
      </c>
      <c r="I246" t="s">
        <v>68</v>
      </c>
      <c r="J246" t="s">
        <v>31</v>
      </c>
      <c r="K246" t="s">
        <v>17</v>
      </c>
      <c r="L246" s="1" t="str">
        <f t="shared" si="24"/>
        <v>February</v>
      </c>
      <c r="M246" s="3">
        <f t="shared" si="25"/>
        <v>2</v>
      </c>
      <c r="N246" t="str">
        <f t="shared" si="26"/>
        <v>Q1</v>
      </c>
      <c r="O246" t="str">
        <f t="shared" si="27"/>
        <v>Low (&lt;2K)</v>
      </c>
      <c r="P246" t="str">
        <f t="shared" si="28"/>
        <v>Small (1-2)</v>
      </c>
      <c r="Q246">
        <f t="shared" si="29"/>
        <v>0</v>
      </c>
      <c r="R246">
        <f t="shared" si="30"/>
        <v>1</v>
      </c>
      <c r="S246">
        <f t="shared" si="31"/>
        <v>800</v>
      </c>
    </row>
    <row r="247" spans="1:19" x14ac:dyDescent="0.3">
      <c r="A247" t="s">
        <v>299</v>
      </c>
      <c r="B247" s="1">
        <v>45733</v>
      </c>
      <c r="C247" t="s">
        <v>35</v>
      </c>
      <c r="D247" t="s">
        <v>36</v>
      </c>
      <c r="E247">
        <v>20</v>
      </c>
      <c r="F247">
        <v>2</v>
      </c>
      <c r="G247">
        <v>40</v>
      </c>
      <c r="H247" t="s">
        <v>57</v>
      </c>
      <c r="I247" t="s">
        <v>44</v>
      </c>
      <c r="J247" t="s">
        <v>16</v>
      </c>
      <c r="K247" t="s">
        <v>17</v>
      </c>
      <c r="L247" s="1" t="str">
        <f t="shared" si="24"/>
        <v>March</v>
      </c>
      <c r="M247" s="3">
        <f t="shared" si="25"/>
        <v>3</v>
      </c>
      <c r="N247" t="str">
        <f t="shared" si="26"/>
        <v>Q1</v>
      </c>
      <c r="O247" t="str">
        <f t="shared" si="27"/>
        <v>Low (&lt;2K)</v>
      </c>
      <c r="P247" t="str">
        <f t="shared" si="28"/>
        <v>Small (1-2)</v>
      </c>
      <c r="Q247">
        <f t="shared" si="29"/>
        <v>0</v>
      </c>
      <c r="R247">
        <f t="shared" si="30"/>
        <v>1</v>
      </c>
      <c r="S247">
        <f t="shared" si="31"/>
        <v>40</v>
      </c>
    </row>
    <row r="248" spans="1:19" x14ac:dyDescent="0.3">
      <c r="A248" t="s">
        <v>300</v>
      </c>
      <c r="B248" s="1">
        <v>45746</v>
      </c>
      <c r="C248" t="s">
        <v>53</v>
      </c>
      <c r="D248" t="s">
        <v>36</v>
      </c>
      <c r="E248">
        <v>40</v>
      </c>
      <c r="F248">
        <v>1</v>
      </c>
      <c r="G248">
        <v>40</v>
      </c>
      <c r="H248" t="s">
        <v>43</v>
      </c>
      <c r="I248" t="s">
        <v>30</v>
      </c>
      <c r="J248" t="s">
        <v>16</v>
      </c>
      <c r="K248" t="s">
        <v>17</v>
      </c>
      <c r="L248" s="1" t="str">
        <f t="shared" si="24"/>
        <v>March</v>
      </c>
      <c r="M248" s="3">
        <f t="shared" si="25"/>
        <v>3</v>
      </c>
      <c r="N248" t="str">
        <f t="shared" si="26"/>
        <v>Q1</v>
      </c>
      <c r="O248" t="str">
        <f t="shared" si="27"/>
        <v>Low (&lt;2K)</v>
      </c>
      <c r="P248" t="str">
        <f t="shared" si="28"/>
        <v>Small (1-2)</v>
      </c>
      <c r="Q248">
        <f t="shared" si="29"/>
        <v>0</v>
      </c>
      <c r="R248">
        <f t="shared" si="30"/>
        <v>1</v>
      </c>
      <c r="S248">
        <f t="shared" si="31"/>
        <v>40</v>
      </c>
    </row>
    <row r="249" spans="1:19" x14ac:dyDescent="0.3">
      <c r="A249" t="s">
        <v>301</v>
      </c>
      <c r="B249" s="1">
        <v>45721</v>
      </c>
      <c r="C249" t="s">
        <v>35</v>
      </c>
      <c r="D249" t="s">
        <v>36</v>
      </c>
      <c r="E249">
        <v>20</v>
      </c>
      <c r="F249">
        <v>2</v>
      </c>
      <c r="G249">
        <v>40</v>
      </c>
      <c r="H249" t="s">
        <v>72</v>
      </c>
      <c r="I249" t="s">
        <v>26</v>
      </c>
      <c r="J249" t="s">
        <v>16</v>
      </c>
      <c r="K249" t="s">
        <v>17</v>
      </c>
      <c r="L249" s="1" t="str">
        <f t="shared" si="24"/>
        <v>March</v>
      </c>
      <c r="M249" s="3">
        <f t="shared" si="25"/>
        <v>3</v>
      </c>
      <c r="N249" t="str">
        <f t="shared" si="26"/>
        <v>Q1</v>
      </c>
      <c r="O249" t="str">
        <f t="shared" si="27"/>
        <v>Low (&lt;2K)</v>
      </c>
      <c r="P249" t="str">
        <f t="shared" si="28"/>
        <v>Small (1-2)</v>
      </c>
      <c r="Q249">
        <f t="shared" si="29"/>
        <v>0</v>
      </c>
      <c r="R249">
        <f t="shared" si="30"/>
        <v>1</v>
      </c>
      <c r="S249">
        <f t="shared" si="31"/>
        <v>40</v>
      </c>
    </row>
    <row r="250" spans="1:19" x14ac:dyDescent="0.3">
      <c r="A250" t="s">
        <v>302</v>
      </c>
      <c r="B250" s="1">
        <v>45724</v>
      </c>
      <c r="C250" t="s">
        <v>33</v>
      </c>
      <c r="D250" t="s">
        <v>20</v>
      </c>
      <c r="E250">
        <v>150</v>
      </c>
      <c r="F250">
        <v>3</v>
      </c>
      <c r="G250">
        <v>450</v>
      </c>
      <c r="H250" t="s">
        <v>21</v>
      </c>
      <c r="I250" t="s">
        <v>15</v>
      </c>
      <c r="J250" t="s">
        <v>16</v>
      </c>
      <c r="K250" t="s">
        <v>17</v>
      </c>
      <c r="L250" s="1" t="str">
        <f t="shared" si="24"/>
        <v>March</v>
      </c>
      <c r="M250" s="3">
        <f t="shared" si="25"/>
        <v>3</v>
      </c>
      <c r="N250" t="str">
        <f t="shared" si="26"/>
        <v>Q1</v>
      </c>
      <c r="O250" t="str">
        <f t="shared" si="27"/>
        <v>Low (&lt;2K)</v>
      </c>
      <c r="P250" t="str">
        <f t="shared" si="28"/>
        <v>Medium (3-4)</v>
      </c>
      <c r="Q250">
        <f t="shared" si="29"/>
        <v>0</v>
      </c>
      <c r="R250">
        <f t="shared" si="30"/>
        <v>1</v>
      </c>
      <c r="S250">
        <f t="shared" si="31"/>
        <v>450</v>
      </c>
    </row>
    <row r="251" spans="1:19" x14ac:dyDescent="0.3">
      <c r="A251" t="s">
        <v>303</v>
      </c>
      <c r="B251" s="1">
        <v>45707</v>
      </c>
      <c r="C251" t="s">
        <v>42</v>
      </c>
      <c r="D251" t="s">
        <v>20</v>
      </c>
      <c r="E251">
        <v>500</v>
      </c>
      <c r="F251">
        <v>4</v>
      </c>
      <c r="G251">
        <v>2000</v>
      </c>
      <c r="H251" t="s">
        <v>21</v>
      </c>
      <c r="I251" t="s">
        <v>63</v>
      </c>
      <c r="J251" t="s">
        <v>27</v>
      </c>
      <c r="K251" t="s">
        <v>40</v>
      </c>
      <c r="L251" s="1" t="str">
        <f t="shared" si="24"/>
        <v>February</v>
      </c>
      <c r="M251" s="3">
        <f t="shared" si="25"/>
        <v>2</v>
      </c>
      <c r="N251" t="str">
        <f t="shared" si="26"/>
        <v>Q1</v>
      </c>
      <c r="O251" t="str">
        <f t="shared" si="27"/>
        <v>Mid (2K-5K)</v>
      </c>
      <c r="P251" t="str">
        <f t="shared" si="28"/>
        <v>Medium (3-4)</v>
      </c>
      <c r="Q251">
        <f t="shared" si="29"/>
        <v>1</v>
      </c>
      <c r="R251">
        <f t="shared" si="30"/>
        <v>0</v>
      </c>
      <c r="S251">
        <f t="shared" si="31"/>
        <v>0</v>
      </c>
    </row>
    <row r="252" spans="1:19" x14ac:dyDescent="0.3">
      <c r="B252" s="1"/>
      <c r="L252" s="1"/>
      <c r="M252"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AF97-F797-4F0C-AF10-60523DA2B349}">
  <sheetPr>
    <tabColor theme="9" tint="0.59999389629810485"/>
  </sheetPr>
  <dimension ref="A1:B6"/>
  <sheetViews>
    <sheetView workbookViewId="0">
      <selection activeCell="B2" sqref="B2"/>
    </sheetView>
  </sheetViews>
  <sheetFormatPr defaultRowHeight="14.4" x14ac:dyDescent="0.3"/>
  <cols>
    <col min="1" max="1" width="29.6640625" bestFit="1" customWidth="1"/>
    <col min="2" max="2" width="33.44140625" bestFit="1" customWidth="1"/>
  </cols>
  <sheetData>
    <row r="1" spans="1:2" x14ac:dyDescent="0.3">
      <c r="A1" t="s">
        <v>304</v>
      </c>
      <c r="B1">
        <f>COUNTA('amazon_sales_data 2025'!A:A)-1</f>
        <v>250</v>
      </c>
    </row>
    <row r="2" spans="1:2" x14ac:dyDescent="0.3">
      <c r="A2" t="s">
        <v>305</v>
      </c>
      <c r="B2" t="s">
        <v>306</v>
      </c>
    </row>
    <row r="3" spans="1:2" x14ac:dyDescent="0.3">
      <c r="A3" t="s">
        <v>307</v>
      </c>
      <c r="B3" t="s">
        <v>308</v>
      </c>
    </row>
    <row r="4" spans="1:2" x14ac:dyDescent="0.3">
      <c r="A4" t="s">
        <v>309</v>
      </c>
      <c r="B4" t="b">
        <f>'amazon_sales_data 2025'!E2*'amazon_sales_data 2025'!F2='amazon_sales_data 2025'!G2</f>
        <v>1</v>
      </c>
    </row>
    <row r="5" spans="1:2" x14ac:dyDescent="0.3">
      <c r="A5" t="s">
        <v>310</v>
      </c>
      <c r="B5">
        <f>COUNTBLANK('amazon_sales_data 2025'!K2:K251)</f>
        <v>0</v>
      </c>
    </row>
    <row r="6" spans="1:2" x14ac:dyDescent="0.3">
      <c r="A6" t="s">
        <v>311</v>
      </c>
      <c r="B6">
        <f>COUNTIFS('amazon_sales_data 2025'!K2:K251,"&lt;&gt;Completed",'amazon_sales_data 2025'!K2:K251,"&lt;&gt;Pending",'amazon_sales_data 2025'!K2:K251,"&lt;&gt;Cancelled")</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A6BA1-D380-4E73-BEDA-3FCF8DE4687E}">
  <sheetPr>
    <tabColor theme="9" tint="0.39997558519241921"/>
  </sheetPr>
  <dimension ref="A1:H84"/>
  <sheetViews>
    <sheetView topLeftCell="A50" zoomScale="63" workbookViewId="0">
      <selection activeCell="C14" sqref="C14"/>
    </sheetView>
  </sheetViews>
  <sheetFormatPr defaultRowHeight="14.4" x14ac:dyDescent="0.3"/>
  <cols>
    <col min="1" max="1" width="14.5546875" bestFit="1" customWidth="1"/>
    <col min="2" max="2" width="17.5546875" bestFit="1" customWidth="1"/>
    <col min="3" max="3" width="14.88671875" bestFit="1" customWidth="1"/>
    <col min="4" max="4" width="8.88671875" bestFit="1" customWidth="1"/>
    <col min="5" max="5" width="12.44140625" bestFit="1" customWidth="1"/>
    <col min="6" max="6" width="24" bestFit="1" customWidth="1"/>
    <col min="7" max="7" width="45.6640625" bestFit="1" customWidth="1"/>
    <col min="8" max="8" width="36.44140625" bestFit="1" customWidth="1"/>
    <col min="9" max="9" width="21.109375" bestFit="1" customWidth="1"/>
  </cols>
  <sheetData>
    <row r="1" spans="1:8" ht="25.8" x14ac:dyDescent="0.3">
      <c r="B1" s="29" t="s">
        <v>320</v>
      </c>
      <c r="C1" s="29" t="s">
        <v>321</v>
      </c>
      <c r="D1" s="29" t="s">
        <v>322</v>
      </c>
      <c r="E1" s="29" t="s">
        <v>323</v>
      </c>
      <c r="F1" s="29" t="s">
        <v>324</v>
      </c>
      <c r="G1" s="29" t="s">
        <v>325</v>
      </c>
      <c r="H1" s="29" t="s">
        <v>326</v>
      </c>
    </row>
    <row r="2" spans="1:8" x14ac:dyDescent="0.3">
      <c r="B2" s="27">
        <f>SUMIF(Table1[Status],"Completed",Table1[Total Sales])</f>
        <v>88530</v>
      </c>
      <c r="C2" s="27" cm="1">
        <f t="array" ref="C2">COUNTA(Table1[Order ID]-1)</f>
        <v>250</v>
      </c>
      <c r="D2" s="36">
        <f>COUNTIF(Table1[Status],"Completed")/COUNTA(Table1[Order ID])</f>
        <v>0.35199999999999998</v>
      </c>
      <c r="E2" s="36">
        <f>COUNTIF(Table1[Status],"Cancelled")/COUNTA(Table1[Order ID])</f>
        <v>0.308</v>
      </c>
      <c r="F2" s="28">
        <f>AVERAGEIF(Table1[Status],"Completed",Table1[Total Sales])</f>
        <v>1006.0227272727273</v>
      </c>
      <c r="G2" s="27">
        <f>SUMIF(Table1[Status],"Completed",Table1[Total Sales])</f>
        <v>88530</v>
      </c>
      <c r="H2" s="27" t="str" cm="1">
        <f t="array" ref="H2">INDEX(Table1[Category],MATCH(MAX(SUMIF(Table1[Category],Table1[Category],Table1[Total Sales])),SUMIF(Table1[Category],Table1[Category],Table1[Total Sales]),0))</f>
        <v>Electronics</v>
      </c>
    </row>
    <row r="3" spans="1:8" x14ac:dyDescent="0.3">
      <c r="A3" s="12" t="s">
        <v>330</v>
      </c>
    </row>
    <row r="4" spans="1:8" x14ac:dyDescent="0.3">
      <c r="A4" s="9" t="s">
        <v>327</v>
      </c>
      <c r="B4" t="s">
        <v>329</v>
      </c>
    </row>
    <row r="5" spans="1:8" x14ac:dyDescent="0.3">
      <c r="A5" s="10" t="s">
        <v>368</v>
      </c>
      <c r="B5" s="11">
        <v>122695</v>
      </c>
    </row>
    <row r="6" spans="1:8" x14ac:dyDescent="0.3">
      <c r="A6" s="10" t="s">
        <v>369</v>
      </c>
      <c r="B6" s="11">
        <v>117730</v>
      </c>
    </row>
    <row r="7" spans="1:8" x14ac:dyDescent="0.3">
      <c r="A7" s="10" t="s">
        <v>370</v>
      </c>
      <c r="B7" s="11">
        <v>3420</v>
      </c>
    </row>
    <row r="8" spans="1:8" x14ac:dyDescent="0.3">
      <c r="A8" s="10" t="s">
        <v>328</v>
      </c>
      <c r="B8" s="11">
        <v>243845</v>
      </c>
    </row>
    <row r="9" spans="1:8" x14ac:dyDescent="0.3">
      <c r="A9" s="10"/>
      <c r="B9" s="11"/>
    </row>
    <row r="10" spans="1:8" x14ac:dyDescent="0.3">
      <c r="A10" s="13" t="s">
        <v>333</v>
      </c>
      <c r="B10" s="13"/>
      <c r="C10" s="13"/>
    </row>
    <row r="11" spans="1:8" x14ac:dyDescent="0.3">
      <c r="A11" s="9" t="s">
        <v>327</v>
      </c>
      <c r="B11" t="s">
        <v>329</v>
      </c>
      <c r="C11" t="s">
        <v>332</v>
      </c>
    </row>
    <row r="12" spans="1:8" x14ac:dyDescent="0.3">
      <c r="A12" s="10" t="s">
        <v>368</v>
      </c>
      <c r="B12" s="11">
        <v>122695</v>
      </c>
      <c r="C12" s="11">
        <v>113</v>
      </c>
    </row>
    <row r="13" spans="1:8" x14ac:dyDescent="0.3">
      <c r="A13" s="10" t="s">
        <v>369</v>
      </c>
      <c r="B13" s="11">
        <v>117730</v>
      </c>
      <c r="C13" s="11">
        <v>131</v>
      </c>
    </row>
    <row r="14" spans="1:8" x14ac:dyDescent="0.3">
      <c r="A14" s="10" t="s">
        <v>370</v>
      </c>
      <c r="B14" s="11">
        <v>3420</v>
      </c>
      <c r="C14" s="11">
        <v>6</v>
      </c>
    </row>
    <row r="15" spans="1:8" x14ac:dyDescent="0.3">
      <c r="A15" s="10" t="s">
        <v>328</v>
      </c>
      <c r="B15" s="11">
        <v>243845</v>
      </c>
      <c r="C15" s="11">
        <v>250</v>
      </c>
    </row>
    <row r="17" spans="1:4" x14ac:dyDescent="0.3">
      <c r="A17" s="13" t="s">
        <v>334</v>
      </c>
      <c r="B17" s="13"/>
      <c r="C17" s="13"/>
    </row>
    <row r="18" spans="1:4" x14ac:dyDescent="0.3">
      <c r="A18" s="9" t="s">
        <v>327</v>
      </c>
      <c r="B18" t="s">
        <v>329</v>
      </c>
      <c r="C18" t="s">
        <v>335</v>
      </c>
    </row>
    <row r="19" spans="1:4" x14ac:dyDescent="0.3">
      <c r="A19" s="10" t="s">
        <v>20</v>
      </c>
      <c r="B19" s="11">
        <v>129950</v>
      </c>
      <c r="C19" s="2">
        <v>375.42372881355931</v>
      </c>
    </row>
    <row r="20" spans="1:4" x14ac:dyDescent="0.3">
      <c r="A20" s="10" t="s">
        <v>61</v>
      </c>
      <c r="B20" s="11">
        <v>105000</v>
      </c>
      <c r="C20" s="2">
        <v>960</v>
      </c>
    </row>
    <row r="21" spans="1:4" x14ac:dyDescent="0.3">
      <c r="A21" s="10" t="s">
        <v>13</v>
      </c>
      <c r="B21" s="11">
        <v>4320</v>
      </c>
      <c r="C21" s="2">
        <v>60</v>
      </c>
    </row>
    <row r="22" spans="1:4" x14ac:dyDescent="0.3">
      <c r="A22" s="10" t="s">
        <v>36</v>
      </c>
      <c r="B22" s="11">
        <v>3540</v>
      </c>
      <c r="C22" s="2">
        <v>30</v>
      </c>
    </row>
    <row r="23" spans="1:4" x14ac:dyDescent="0.3">
      <c r="A23" s="10" t="s">
        <v>50</v>
      </c>
      <c r="B23" s="11">
        <v>1035</v>
      </c>
      <c r="C23" s="2">
        <v>15</v>
      </c>
    </row>
    <row r="24" spans="1:4" x14ac:dyDescent="0.3">
      <c r="A24" s="10" t="s">
        <v>328</v>
      </c>
      <c r="B24" s="11">
        <v>243845</v>
      </c>
      <c r="C24" s="2">
        <v>343.58</v>
      </c>
    </row>
    <row r="26" spans="1:4" x14ac:dyDescent="0.3">
      <c r="A26" s="13" t="s">
        <v>336</v>
      </c>
      <c r="B26" s="13"/>
      <c r="C26" s="13"/>
      <c r="D26" s="13"/>
    </row>
    <row r="27" spans="1:4" x14ac:dyDescent="0.3">
      <c r="A27" s="9" t="s">
        <v>327</v>
      </c>
      <c r="B27" t="s">
        <v>337</v>
      </c>
    </row>
    <row r="28" spans="1:4" x14ac:dyDescent="0.3">
      <c r="A28" s="10" t="s">
        <v>17</v>
      </c>
      <c r="B28" s="14">
        <v>0.26668580450696139</v>
      </c>
    </row>
    <row r="29" spans="1:4" x14ac:dyDescent="0.3">
      <c r="A29" s="10" t="s">
        <v>40</v>
      </c>
      <c r="B29" s="14">
        <v>0.36305850027681519</v>
      </c>
    </row>
    <row r="30" spans="1:4" x14ac:dyDescent="0.3">
      <c r="A30" s="10" t="s">
        <v>23</v>
      </c>
      <c r="B30" s="14">
        <v>0.37025569521622342</v>
      </c>
    </row>
    <row r="31" spans="1:4" x14ac:dyDescent="0.3">
      <c r="A31" s="10" t="s">
        <v>328</v>
      </c>
      <c r="B31" s="14">
        <v>1</v>
      </c>
    </row>
    <row r="33" spans="1:3" x14ac:dyDescent="0.3">
      <c r="A33" s="13" t="s">
        <v>338</v>
      </c>
      <c r="B33" s="13"/>
      <c r="C33" s="13"/>
    </row>
    <row r="34" spans="1:3" x14ac:dyDescent="0.3">
      <c r="A34" s="9" t="s">
        <v>327</v>
      </c>
      <c r="B34" t="s">
        <v>329</v>
      </c>
    </row>
    <row r="35" spans="1:3" x14ac:dyDescent="0.3">
      <c r="A35" s="10" t="s">
        <v>44</v>
      </c>
      <c r="B35" s="11">
        <v>31700</v>
      </c>
    </row>
    <row r="36" spans="1:3" x14ac:dyDescent="0.3">
      <c r="A36" s="10" t="s">
        <v>26</v>
      </c>
      <c r="B36" s="11">
        <v>29785</v>
      </c>
    </row>
    <row r="37" spans="1:3" x14ac:dyDescent="0.3">
      <c r="A37" s="10" t="s">
        <v>38</v>
      </c>
      <c r="B37" s="11">
        <v>28390</v>
      </c>
    </row>
    <row r="38" spans="1:3" x14ac:dyDescent="0.3">
      <c r="A38" s="10" t="s">
        <v>30</v>
      </c>
      <c r="B38" s="11">
        <v>27145</v>
      </c>
    </row>
    <row r="39" spans="1:3" x14ac:dyDescent="0.3">
      <c r="A39" s="10" t="s">
        <v>63</v>
      </c>
      <c r="B39" s="11">
        <v>26890</v>
      </c>
    </row>
    <row r="40" spans="1:3" x14ac:dyDescent="0.3">
      <c r="A40" s="10" t="s">
        <v>46</v>
      </c>
      <c r="B40" s="11">
        <v>26170</v>
      </c>
    </row>
    <row r="41" spans="1:3" x14ac:dyDescent="0.3">
      <c r="A41" s="10" t="s">
        <v>81</v>
      </c>
      <c r="B41" s="11">
        <v>20810</v>
      </c>
    </row>
    <row r="42" spans="1:3" x14ac:dyDescent="0.3">
      <c r="A42" s="10" t="s">
        <v>15</v>
      </c>
      <c r="B42" s="11">
        <v>18940</v>
      </c>
    </row>
    <row r="43" spans="1:3" x14ac:dyDescent="0.3">
      <c r="A43" s="10" t="s">
        <v>68</v>
      </c>
      <c r="B43" s="11">
        <v>17820</v>
      </c>
    </row>
    <row r="44" spans="1:3" x14ac:dyDescent="0.3">
      <c r="A44" s="10" t="s">
        <v>22</v>
      </c>
      <c r="B44" s="11">
        <v>16195</v>
      </c>
    </row>
    <row r="45" spans="1:3" x14ac:dyDescent="0.3">
      <c r="A45" s="10" t="s">
        <v>328</v>
      </c>
      <c r="B45" s="11">
        <v>243845</v>
      </c>
    </row>
    <row r="47" spans="1:3" x14ac:dyDescent="0.3">
      <c r="A47" s="13" t="s">
        <v>339</v>
      </c>
      <c r="B47" s="13"/>
      <c r="C47" s="13"/>
    </row>
    <row r="48" spans="1:3" x14ac:dyDescent="0.3">
      <c r="A48" s="9" t="s">
        <v>327</v>
      </c>
      <c r="B48" t="s">
        <v>331</v>
      </c>
    </row>
    <row r="49" spans="1:3" x14ac:dyDescent="0.3">
      <c r="A49" s="10" t="s">
        <v>27</v>
      </c>
      <c r="B49" s="11">
        <v>41</v>
      </c>
    </row>
    <row r="50" spans="1:3" x14ac:dyDescent="0.3">
      <c r="A50" s="10" t="s">
        <v>31</v>
      </c>
      <c r="B50" s="11">
        <v>54</v>
      </c>
    </row>
    <row r="51" spans="1:3" x14ac:dyDescent="0.3">
      <c r="A51" s="10" t="s">
        <v>16</v>
      </c>
      <c r="B51" s="11">
        <v>53</v>
      </c>
    </row>
    <row r="52" spans="1:3" x14ac:dyDescent="0.3">
      <c r="A52" s="10" t="s">
        <v>58</v>
      </c>
      <c r="B52" s="11">
        <v>42</v>
      </c>
    </row>
    <row r="53" spans="1:3" x14ac:dyDescent="0.3">
      <c r="A53" s="10" t="s">
        <v>39</v>
      </c>
      <c r="B53" s="11">
        <v>60</v>
      </c>
    </row>
    <row r="54" spans="1:3" x14ac:dyDescent="0.3">
      <c r="A54" s="10" t="s">
        <v>328</v>
      </c>
      <c r="B54" s="11">
        <v>250</v>
      </c>
    </row>
    <row r="56" spans="1:3" x14ac:dyDescent="0.3">
      <c r="A56" s="13" t="s">
        <v>340</v>
      </c>
      <c r="B56" s="13"/>
      <c r="C56" s="13"/>
    </row>
    <row r="57" spans="1:3" x14ac:dyDescent="0.3">
      <c r="A57" s="9" t="s">
        <v>327</v>
      </c>
      <c r="B57" t="s">
        <v>329</v>
      </c>
    </row>
    <row r="58" spans="1:3" x14ac:dyDescent="0.3">
      <c r="A58" s="10" t="s">
        <v>29</v>
      </c>
      <c r="B58" s="11">
        <v>36170</v>
      </c>
    </row>
    <row r="59" spans="1:3" x14ac:dyDescent="0.3">
      <c r="A59" s="10" t="s">
        <v>80</v>
      </c>
      <c r="B59" s="11">
        <v>31185</v>
      </c>
    </row>
    <row r="60" spans="1:3" x14ac:dyDescent="0.3">
      <c r="A60" s="10" t="s">
        <v>14</v>
      </c>
      <c r="B60" s="11">
        <v>29700</v>
      </c>
    </row>
    <row r="61" spans="1:3" x14ac:dyDescent="0.3">
      <c r="A61" s="10" t="s">
        <v>25</v>
      </c>
      <c r="B61" s="11">
        <v>26870</v>
      </c>
    </row>
    <row r="62" spans="1:3" x14ac:dyDescent="0.3">
      <c r="A62" s="10" t="s">
        <v>21</v>
      </c>
      <c r="B62" s="11">
        <v>23475</v>
      </c>
    </row>
    <row r="63" spans="1:3" x14ac:dyDescent="0.3">
      <c r="A63" s="10" t="s">
        <v>51</v>
      </c>
      <c r="B63" s="11">
        <v>22665</v>
      </c>
    </row>
    <row r="64" spans="1:3" x14ac:dyDescent="0.3">
      <c r="A64" s="10" t="s">
        <v>54</v>
      </c>
      <c r="B64" s="11">
        <v>22655</v>
      </c>
    </row>
    <row r="65" spans="1:5" x14ac:dyDescent="0.3">
      <c r="A65" s="10" t="s">
        <v>57</v>
      </c>
      <c r="B65" s="11">
        <v>18945</v>
      </c>
    </row>
    <row r="66" spans="1:5" x14ac:dyDescent="0.3">
      <c r="A66" s="10" t="s">
        <v>72</v>
      </c>
      <c r="B66" s="11">
        <v>18885</v>
      </c>
    </row>
    <row r="67" spans="1:5" x14ac:dyDescent="0.3">
      <c r="A67" s="10" t="s">
        <v>43</v>
      </c>
      <c r="B67" s="11">
        <v>13295</v>
      </c>
    </row>
    <row r="68" spans="1:5" x14ac:dyDescent="0.3">
      <c r="A68" s="10" t="s">
        <v>328</v>
      </c>
      <c r="B68" s="11">
        <v>243845</v>
      </c>
    </row>
    <row r="70" spans="1:5" ht="15.6" x14ac:dyDescent="0.3">
      <c r="B70" s="45" t="s">
        <v>341</v>
      </c>
      <c r="C70" s="45"/>
      <c r="D70" s="45"/>
      <c r="E70" s="45"/>
    </row>
    <row r="71" spans="1:5" x14ac:dyDescent="0.3">
      <c r="A71" s="15" t="s">
        <v>331</v>
      </c>
      <c r="B71" s="15" t="s">
        <v>342</v>
      </c>
      <c r="C71" s="7"/>
      <c r="D71" s="7"/>
      <c r="E71" s="8"/>
    </row>
    <row r="72" spans="1:5" x14ac:dyDescent="0.3">
      <c r="A72" s="37" t="s">
        <v>351</v>
      </c>
      <c r="B72" s="37" t="s">
        <v>17</v>
      </c>
      <c r="C72" s="38" t="s">
        <v>40</v>
      </c>
      <c r="D72" s="38" t="s">
        <v>23</v>
      </c>
      <c r="E72" s="39" t="s">
        <v>328</v>
      </c>
    </row>
    <row r="73" spans="1:5" x14ac:dyDescent="0.3">
      <c r="A73" s="17" t="s">
        <v>50</v>
      </c>
      <c r="B73" s="18">
        <v>7</v>
      </c>
      <c r="C73" s="19">
        <v>6</v>
      </c>
      <c r="D73" s="19">
        <v>12</v>
      </c>
      <c r="E73" s="20">
        <v>25</v>
      </c>
    </row>
    <row r="74" spans="1:5" x14ac:dyDescent="0.3">
      <c r="A74" s="21" t="s">
        <v>36</v>
      </c>
      <c r="B74" s="22">
        <v>13</v>
      </c>
      <c r="C74" s="23">
        <v>15</v>
      </c>
      <c r="D74" s="23">
        <v>12</v>
      </c>
      <c r="E74" s="24">
        <v>40</v>
      </c>
    </row>
    <row r="75" spans="1:5" x14ac:dyDescent="0.3">
      <c r="A75" s="21" t="s">
        <v>20</v>
      </c>
      <c r="B75" s="44">
        <v>33</v>
      </c>
      <c r="C75" s="23">
        <v>44</v>
      </c>
      <c r="D75" s="23">
        <v>41</v>
      </c>
      <c r="E75" s="24">
        <v>118</v>
      </c>
    </row>
    <row r="76" spans="1:5" x14ac:dyDescent="0.3">
      <c r="A76" s="21" t="s">
        <v>13</v>
      </c>
      <c r="B76" s="22">
        <v>8</v>
      </c>
      <c r="C76" s="23">
        <v>10</v>
      </c>
      <c r="D76" s="23">
        <v>9</v>
      </c>
      <c r="E76" s="24">
        <v>27</v>
      </c>
    </row>
    <row r="77" spans="1:5" x14ac:dyDescent="0.3">
      <c r="A77" s="21" t="s">
        <v>61</v>
      </c>
      <c r="B77" s="22">
        <v>16</v>
      </c>
      <c r="C77" s="23">
        <v>13</v>
      </c>
      <c r="D77" s="23">
        <v>11</v>
      </c>
      <c r="E77" s="24">
        <v>40</v>
      </c>
    </row>
    <row r="78" spans="1:5" x14ac:dyDescent="0.3">
      <c r="A78" s="40" t="s">
        <v>328</v>
      </c>
      <c r="B78" s="41">
        <v>77</v>
      </c>
      <c r="C78" s="42">
        <v>88</v>
      </c>
      <c r="D78" s="42">
        <v>85</v>
      </c>
      <c r="E78" s="43">
        <v>250</v>
      </c>
    </row>
    <row r="80" spans="1:5" x14ac:dyDescent="0.3">
      <c r="A80" s="13" t="s">
        <v>343</v>
      </c>
      <c r="B80" s="13"/>
      <c r="C80" s="13"/>
    </row>
    <row r="81" spans="1:2" x14ac:dyDescent="0.3">
      <c r="A81" s="15" t="s">
        <v>327</v>
      </c>
      <c r="B81" s="16" t="s">
        <v>329</v>
      </c>
    </row>
    <row r="82" spans="1:2" x14ac:dyDescent="0.3">
      <c r="A82" s="17" t="s">
        <v>344</v>
      </c>
      <c r="B82" s="20">
        <v>240425</v>
      </c>
    </row>
    <row r="83" spans="1:2" x14ac:dyDescent="0.3">
      <c r="A83" s="21" t="s">
        <v>345</v>
      </c>
      <c r="B83" s="24">
        <v>3420</v>
      </c>
    </row>
    <row r="84" spans="1:2" x14ac:dyDescent="0.3">
      <c r="A84" s="25" t="s">
        <v>328</v>
      </c>
      <c r="B84" s="26">
        <v>243845</v>
      </c>
    </row>
  </sheetData>
  <mergeCells count="8">
    <mergeCell ref="A56:C56"/>
    <mergeCell ref="A80:C80"/>
    <mergeCell ref="B70:E70"/>
    <mergeCell ref="A10:C10"/>
    <mergeCell ref="A17:C17"/>
    <mergeCell ref="A26:D26"/>
    <mergeCell ref="A33:C33"/>
    <mergeCell ref="A47:C47"/>
  </mergeCells>
  <conditionalFormatting sqref="A71:B72 A73:A77">
    <cfRule type="top10" dxfId="4" priority="2" rank="1"/>
  </conditionalFormatting>
  <conditionalFormatting sqref="A81:B81 A82:A87">
    <cfRule type="top10" dxfId="3" priority="1" rank="1"/>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A9CA-291F-41BB-91AA-E558B56FD652}">
  <sheetPr>
    <tabColor theme="9" tint="-0.249977111117893"/>
  </sheetPr>
  <dimension ref="A1:O8"/>
  <sheetViews>
    <sheetView workbookViewId="0">
      <selection activeCell="C5" sqref="C5"/>
    </sheetView>
  </sheetViews>
  <sheetFormatPr defaultRowHeight="14.4" x14ac:dyDescent="0.3"/>
  <cols>
    <col min="1" max="1" width="15.109375" bestFit="1" customWidth="1"/>
    <col min="2" max="2" width="12.44140625" bestFit="1" customWidth="1"/>
    <col min="3" max="3" width="12" bestFit="1" customWidth="1"/>
    <col min="5" max="5" width="16.5546875" bestFit="1" customWidth="1"/>
  </cols>
  <sheetData>
    <row r="1" spans="1:15" x14ac:dyDescent="0.3">
      <c r="A1" s="30" t="s">
        <v>346</v>
      </c>
      <c r="B1" s="30"/>
      <c r="C1" s="30"/>
      <c r="D1" s="30"/>
      <c r="F1" s="34" t="s">
        <v>348</v>
      </c>
      <c r="G1" s="34"/>
      <c r="H1" s="34"/>
      <c r="I1" s="34"/>
      <c r="J1" s="34"/>
      <c r="L1" s="34" t="s">
        <v>349</v>
      </c>
      <c r="M1" s="34"/>
      <c r="N1" s="34"/>
      <c r="O1" s="34"/>
    </row>
    <row r="2" spans="1:15" x14ac:dyDescent="0.3">
      <c r="A2" s="32">
        <f>SUMIF('amazon_sales_data 2025'!K2:K251,"Cancelled",'amazon_sales_data 2025'!G2:G251)</f>
        <v>65030</v>
      </c>
      <c r="B2" s="32"/>
      <c r="C2" s="32"/>
      <c r="D2" s="32"/>
      <c r="F2" s="35">
        <f>COUNTIFS('amazon_sales_data 2025'!J2:J251,"Credit Card",'amazon_sales_data 2025'!K2:K251,"Completed")/COUNTIFS('amazon_sales_data 2025'!J2:J251,"Credit Card",'amazon_sales_data 2025'!K2:K251,"&lt;&gt;")</f>
        <v>0.31481481481481483</v>
      </c>
      <c r="G2" s="35"/>
      <c r="H2" s="35"/>
      <c r="I2" s="35"/>
      <c r="J2" s="35"/>
      <c r="L2" s="35">
        <f>AVERAGEIF('amazon_sales_data 2025'!D2:D251,"Electronics",'amazon_sales_data 2025'!G2:G251)</f>
        <v>1101.2711864406779</v>
      </c>
      <c r="M2" s="35"/>
      <c r="N2" s="35"/>
      <c r="O2" s="35"/>
    </row>
    <row r="3" spans="1:15" x14ac:dyDescent="0.3">
      <c r="A3" s="31" t="s">
        <v>3</v>
      </c>
      <c r="B3" s="31" t="s">
        <v>347</v>
      </c>
      <c r="C3" s="31" t="s">
        <v>350</v>
      </c>
      <c r="D3" s="31" t="s">
        <v>352</v>
      </c>
      <c r="E3" s="31" t="s">
        <v>353</v>
      </c>
    </row>
    <row r="4" spans="1:15" x14ac:dyDescent="0.3">
      <c r="A4" t="str" cm="1">
        <f t="array" ref="A4:A8">_xlfn.UNIQUE(Table1[Category])</f>
        <v>Footwear</v>
      </c>
      <c r="B4" s="33">
        <f>SUMIFS(Table1[Total Sales],Table1[Category],'Key Analysis'!A4,Table1[Status],"Cancelled")</f>
        <v>1080</v>
      </c>
      <c r="C4" s="2">
        <f>AVERAGEIF('amazon_sales_data 2025'!D2:D251,A4,'amazon_sales_data 2025'!G2:G251)</f>
        <v>160</v>
      </c>
      <c r="D4">
        <f>SUMIF(Table1[Category],A4,Table1[Quantity])</f>
        <v>72</v>
      </c>
      <c r="E4">
        <f>SUMIF(Table1[Status],"Cancelled",Table1[Total Sales])</f>
        <v>65030</v>
      </c>
    </row>
    <row r="5" spans="1:15" x14ac:dyDescent="0.3">
      <c r="A5" t="str">
        <v>Electronics</v>
      </c>
      <c r="B5" s="33">
        <f>SUMIFS(Table1[Total Sales],Table1[Category],'Key Analysis'!A5,Table1[Status],"Cancelled")</f>
        <v>26650</v>
      </c>
      <c r="C5" s="2">
        <f>AVERAGEIF('amazon_sales_data 2025'!D3:D252,A5,'amazon_sales_data 2025'!G2:G252)</f>
        <v>827.92372881355936</v>
      </c>
      <c r="D5">
        <f>SUMIF(Table1[Category],A5,Table1[Quantity])</f>
        <v>348</v>
      </c>
      <c r="E5">
        <f>SUMIF(Table1[Status],"Cancelled",Table1[Total Sales])</f>
        <v>65030</v>
      </c>
    </row>
    <row r="6" spans="1:15" x14ac:dyDescent="0.3">
      <c r="A6" t="str">
        <v>Clothing</v>
      </c>
      <c r="B6" s="33">
        <f>SUMIFS(Table1[Total Sales],Table1[Category],'Key Analysis'!A6,Table1[Status],"Cancelled")</f>
        <v>1120</v>
      </c>
      <c r="C6" s="2">
        <f>AVERAGEIF('amazon_sales_data 2025'!D4:D253,A6,'amazon_sales_data 2025'!G2:G253)</f>
        <v>819.75</v>
      </c>
      <c r="D6">
        <f>SUMIF(Table1[Category],A6,Table1[Quantity])</f>
        <v>115</v>
      </c>
      <c r="E6">
        <f>SUMIF(Table1[Status],"Cancelled",Table1[Total Sales])</f>
        <v>65030</v>
      </c>
    </row>
    <row r="7" spans="1:15" x14ac:dyDescent="0.3">
      <c r="A7" t="str">
        <v>Books</v>
      </c>
      <c r="B7" s="33">
        <f>SUMIFS(Table1[Total Sales],Table1[Category],'Key Analysis'!A7,Table1[Status],"Cancelled")</f>
        <v>180</v>
      </c>
      <c r="C7" s="2">
        <f>AVERAGEIF('amazon_sales_data 2025'!D5:D254,A7,'amazon_sales_data 2025'!G2:G254)</f>
        <v>1400.8</v>
      </c>
      <c r="D7">
        <f>SUMIF(Table1[Category],A7,Table1[Quantity])</f>
        <v>69</v>
      </c>
      <c r="E7">
        <f>SUMIF(Table1[Status],"Cancelled",Table1[Total Sales])</f>
        <v>65030</v>
      </c>
    </row>
    <row r="8" spans="1:15" x14ac:dyDescent="0.3">
      <c r="A8" t="str">
        <v>Home Appliances</v>
      </c>
      <c r="B8" s="33">
        <f>SUMIFS(Table1[Total Sales],Table1[Category],'Key Analysis'!A8,Table1[Status],"Cancelled")</f>
        <v>36000</v>
      </c>
      <c r="C8" s="2">
        <f>AVERAGEIF('amazon_sales_data 2025'!D6:D255,A8,'amazon_sales_data 2025'!G2:G255)</f>
        <v>931.25</v>
      </c>
      <c r="D8">
        <f>SUMIF(Table1[Category],A8,Table1[Quantity])</f>
        <v>110</v>
      </c>
      <c r="E8">
        <f>SUMIF(Table1[Status],"Cancelled",Table1[Total Sales])</f>
        <v>65030</v>
      </c>
    </row>
  </sheetData>
  <mergeCells count="6">
    <mergeCell ref="A1:D1"/>
    <mergeCell ref="A2:D2"/>
    <mergeCell ref="F1:J1"/>
    <mergeCell ref="F2:J2"/>
    <mergeCell ref="L1:O1"/>
    <mergeCell ref="L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8AD1-DED9-49B6-AB55-E683A1D45DD9}">
  <sheetPr>
    <tabColor theme="9" tint="-0.499984740745262"/>
  </sheetPr>
  <dimension ref="A1:T2"/>
  <sheetViews>
    <sheetView zoomScale="77" workbookViewId="0">
      <selection sqref="A1:T2"/>
    </sheetView>
  </sheetViews>
  <sheetFormatPr defaultRowHeight="14.4" x14ac:dyDescent="0.3"/>
  <sheetData>
    <row r="1" spans="1:20" ht="14.4" customHeight="1" x14ac:dyDescent="0.3">
      <c r="A1" s="46" t="s">
        <v>371</v>
      </c>
      <c r="B1" s="46"/>
      <c r="C1" s="46"/>
      <c r="D1" s="46"/>
      <c r="E1" s="46"/>
      <c r="F1" s="46"/>
      <c r="G1" s="46"/>
      <c r="H1" s="46"/>
      <c r="I1" s="46"/>
      <c r="J1" s="46"/>
      <c r="K1" s="46"/>
      <c r="L1" s="46"/>
      <c r="M1" s="46"/>
      <c r="N1" s="46"/>
      <c r="O1" s="46"/>
      <c r="P1" s="46"/>
      <c r="Q1" s="46"/>
      <c r="R1" s="46"/>
      <c r="S1" s="46"/>
      <c r="T1" s="46"/>
    </row>
    <row r="2" spans="1:20" x14ac:dyDescent="0.3">
      <c r="A2" s="46"/>
      <c r="B2" s="46"/>
      <c r="C2" s="46"/>
      <c r="D2" s="46"/>
      <c r="E2" s="46"/>
      <c r="F2" s="46"/>
      <c r="G2" s="46"/>
      <c r="H2" s="46"/>
      <c r="I2" s="46"/>
      <c r="J2" s="46"/>
      <c r="K2" s="46"/>
      <c r="L2" s="46"/>
      <c r="M2" s="46"/>
      <c r="N2" s="46"/>
      <c r="O2" s="46"/>
      <c r="P2" s="46"/>
      <c r="Q2" s="46"/>
      <c r="R2" s="46"/>
      <c r="S2" s="46"/>
      <c r="T2" s="46"/>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7387E-A5DE-4D59-AA38-E3FE03B549E4}">
  <sheetPr>
    <tabColor rgb="FF003300"/>
  </sheetPr>
  <dimension ref="A1:L56"/>
  <sheetViews>
    <sheetView tabSelected="1" zoomScale="57" workbookViewId="0">
      <selection activeCell="G62" sqref="G62"/>
    </sheetView>
  </sheetViews>
  <sheetFormatPr defaultRowHeight="14.4" x14ac:dyDescent="0.3"/>
  <cols>
    <col min="1" max="1" width="28" bestFit="1" customWidth="1"/>
    <col min="2" max="2" width="21.33203125" bestFit="1" customWidth="1"/>
    <col min="3" max="3" width="30.21875" bestFit="1" customWidth="1"/>
    <col min="4" max="4" width="38.109375" bestFit="1" customWidth="1"/>
    <col min="5" max="6" width="33" bestFit="1" customWidth="1"/>
    <col min="7" max="7" width="41.88671875" bestFit="1" customWidth="1"/>
    <col min="8" max="8" width="54.44140625" bestFit="1" customWidth="1"/>
    <col min="9" max="9" width="60.5546875" bestFit="1" customWidth="1"/>
    <col min="10" max="10" width="23" customWidth="1"/>
    <col min="11" max="11" width="29.21875" bestFit="1" customWidth="1"/>
    <col min="12" max="12" width="136.33203125" bestFit="1" customWidth="1"/>
  </cols>
  <sheetData>
    <row r="1" spans="1:12" ht="14.4" customHeight="1" x14ac:dyDescent="0.3">
      <c r="A1" s="55" t="s">
        <v>371</v>
      </c>
      <c r="B1" s="55"/>
      <c r="C1" s="55"/>
      <c r="D1" s="55"/>
      <c r="E1" s="55"/>
      <c r="F1" s="55"/>
      <c r="G1" s="55"/>
      <c r="H1" s="55"/>
      <c r="I1" s="55"/>
      <c r="J1" s="55"/>
      <c r="K1" s="55"/>
    </row>
    <row r="2" spans="1:12" ht="14.4" customHeight="1" x14ac:dyDescent="0.3">
      <c r="A2" s="55"/>
      <c r="B2" s="55"/>
      <c r="C2" s="55"/>
      <c r="D2" s="55"/>
      <c r="E2" s="55"/>
      <c r="F2" s="55"/>
      <c r="G2" s="55"/>
      <c r="H2" s="55"/>
      <c r="I2" s="55"/>
      <c r="J2" s="55"/>
      <c r="K2" s="55"/>
    </row>
    <row r="5" spans="1:12" ht="21" x14ac:dyDescent="0.3">
      <c r="A5" s="72" t="s">
        <v>354</v>
      </c>
      <c r="B5" s="72"/>
    </row>
    <row r="6" spans="1:12" ht="18" x14ac:dyDescent="0.35">
      <c r="A6" s="62" t="s">
        <v>3</v>
      </c>
      <c r="B6" s="62" t="s">
        <v>321</v>
      </c>
      <c r="C6" s="62" t="s">
        <v>355</v>
      </c>
      <c r="D6" s="62" t="s">
        <v>356</v>
      </c>
      <c r="E6" s="62" t="s">
        <v>357</v>
      </c>
      <c r="F6" s="62" t="s">
        <v>358</v>
      </c>
      <c r="G6" s="62" t="s">
        <v>359</v>
      </c>
      <c r="H6" s="62" t="s">
        <v>360</v>
      </c>
      <c r="I6" s="62" t="s">
        <v>361</v>
      </c>
      <c r="J6" s="62" t="s">
        <v>322</v>
      </c>
      <c r="K6" s="62" t="s">
        <v>323</v>
      </c>
      <c r="L6" s="62" t="s">
        <v>362</v>
      </c>
    </row>
    <row r="7" spans="1:12" ht="18" x14ac:dyDescent="0.35">
      <c r="A7" s="47" t="str" cm="1">
        <f t="array" ref="A7:A11">_xlfn.UNIQUE(Table1[Category])</f>
        <v>Footwear</v>
      </c>
      <c r="B7" s="48">
        <f>COUNTIF(Table1[Category], 'Revenue MIS Report'!A7)</f>
        <v>27</v>
      </c>
      <c r="C7" s="48">
        <f>COUNTIFS(Table1[Category], A7, Table1[Status], "Completed")</f>
        <v>10</v>
      </c>
      <c r="D7" s="48">
        <f>COUNTIFS(Table1[Category], A7, Table1[Status], "Cancelled")</f>
        <v>8</v>
      </c>
      <c r="E7" s="48">
        <f>COUNTIFS(Table1[Category], A7, Table1[Status], "Pending")</f>
        <v>9</v>
      </c>
      <c r="F7" s="49">
        <f>SUMIF(Table1[Category], A7, Table1[Total Sales])</f>
        <v>4320</v>
      </c>
      <c r="G7" s="49">
        <f>SUMIFS(Table1[Total Sales], Table1[Category], A7, Table1[Status], "Completed")</f>
        <v>1620</v>
      </c>
      <c r="H7" s="49">
        <f>SUMIFS(Table1[Total Sales], Table1[Category], A7, Table1[Status], "Cancelled")</f>
        <v>1080</v>
      </c>
      <c r="I7" s="50">
        <f>AVERAGEIF('amazon_sales_data 2025'!D2:D251,A7,'amazon_sales_data 2025'!G2:G251)</f>
        <v>160</v>
      </c>
      <c r="J7" s="51">
        <f>C7/B7</f>
        <v>0.37037037037037035</v>
      </c>
      <c r="K7" s="51">
        <f>D7/B7</f>
        <v>0.29629629629629628</v>
      </c>
      <c r="L7" s="48" t="s">
        <v>378</v>
      </c>
    </row>
    <row r="8" spans="1:12" ht="18" x14ac:dyDescent="0.35">
      <c r="A8" s="47" t="str">
        <v>Electronics</v>
      </c>
      <c r="B8" s="48">
        <f>COUNTIF(Table1[Category], 'Revenue MIS Report'!A8)</f>
        <v>118</v>
      </c>
      <c r="C8" s="48">
        <f>COUNTIFS(Table1[Category], A8, Table1[Status], "Completed")</f>
        <v>44</v>
      </c>
      <c r="D8" s="48">
        <f>COUNTIFS(Table1[Category], A8, Table1[Status], "Cancelled")</f>
        <v>33</v>
      </c>
      <c r="E8" s="48">
        <f>COUNTIFS(Table1[Category], A8, Table1[Status], "Pending")</f>
        <v>41</v>
      </c>
      <c r="F8" s="49">
        <f>SUMIF(Table1[Category], A8, Table1[Total Sales])</f>
        <v>129950</v>
      </c>
      <c r="G8" s="49">
        <f>SUMIFS(Table1[Total Sales], Table1[Category], A8, Table1[Status], "Completed")</f>
        <v>55900</v>
      </c>
      <c r="H8" s="49">
        <f>SUMIFS(Table1[Total Sales], Table1[Category], A8, Table1[Status], "Cancelled")</f>
        <v>26650</v>
      </c>
      <c r="I8" s="50">
        <f>AVERAGEIF('amazon_sales_data 2025'!D3:D252,A8,'amazon_sales_data 2025'!G2:G252)</f>
        <v>827.92372881355936</v>
      </c>
      <c r="J8" s="51">
        <f t="shared" ref="J8:J11" si="0">C8/B8</f>
        <v>0.3728813559322034</v>
      </c>
      <c r="K8" s="51">
        <f t="shared" ref="K8:K11" si="1">D8/B8</f>
        <v>0.27966101694915252</v>
      </c>
      <c r="L8" s="48" t="s">
        <v>379</v>
      </c>
    </row>
    <row r="9" spans="1:12" ht="18" x14ac:dyDescent="0.35">
      <c r="A9" s="47" t="str">
        <v>Clothing</v>
      </c>
      <c r="B9" s="48">
        <f>COUNTIF(Table1[Category], 'Revenue MIS Report'!A9)</f>
        <v>40</v>
      </c>
      <c r="C9" s="48">
        <f>COUNTIFS(Table1[Category], A9, Table1[Status], "Completed")</f>
        <v>15</v>
      </c>
      <c r="D9" s="48">
        <f>COUNTIFS(Table1[Category], A9, Table1[Status], "Cancelled")</f>
        <v>13</v>
      </c>
      <c r="E9" s="48">
        <f>COUNTIFS(Table1[Category], A9, Table1[Status], "Pending")</f>
        <v>12</v>
      </c>
      <c r="F9" s="49">
        <f>SUMIF(Table1[Category], A9, Table1[Total Sales])</f>
        <v>3540</v>
      </c>
      <c r="G9" s="49">
        <f>SUMIFS(Table1[Total Sales], Table1[Category], A9, Table1[Status], "Completed")</f>
        <v>1400</v>
      </c>
      <c r="H9" s="49">
        <f>SUMIFS(Table1[Total Sales], Table1[Category], A9, Table1[Status], "Cancelled")</f>
        <v>1120</v>
      </c>
      <c r="I9" s="50">
        <f>AVERAGEIF('amazon_sales_data 2025'!D4:D253,A9,'amazon_sales_data 2025'!G2:G253)</f>
        <v>819.75</v>
      </c>
      <c r="J9" s="51">
        <f t="shared" si="0"/>
        <v>0.375</v>
      </c>
      <c r="K9" s="51">
        <f t="shared" si="1"/>
        <v>0.32500000000000001</v>
      </c>
      <c r="L9" s="48" t="s">
        <v>380</v>
      </c>
    </row>
    <row r="10" spans="1:12" ht="18" x14ac:dyDescent="0.35">
      <c r="A10" s="47" t="str">
        <v>Books</v>
      </c>
      <c r="B10" s="48">
        <f>COUNTIF(Table1[Category], 'Revenue MIS Report'!A10)</f>
        <v>25</v>
      </c>
      <c r="C10" s="48">
        <f>COUNTIFS(Table1[Category], A10, Table1[Status], "Completed")</f>
        <v>6</v>
      </c>
      <c r="D10" s="48">
        <f>COUNTIFS(Table1[Category], A10, Table1[Status], "Cancelled")</f>
        <v>7</v>
      </c>
      <c r="E10" s="48">
        <f>COUNTIFS(Table1[Category], A10, Table1[Status], "Pending")</f>
        <v>12</v>
      </c>
      <c r="F10" s="49">
        <f>SUMIF(Table1[Category], A10, Table1[Total Sales])</f>
        <v>1035</v>
      </c>
      <c r="G10" s="49">
        <f>SUMIFS(Table1[Total Sales], Table1[Category], A10, Table1[Status], "Completed")</f>
        <v>210</v>
      </c>
      <c r="H10" s="49">
        <f>SUMIFS(Table1[Total Sales], Table1[Category], A10, Table1[Status], "Cancelled")</f>
        <v>180</v>
      </c>
      <c r="I10" s="50">
        <f>AVERAGEIF('amazon_sales_data 2025'!D5:D254,A10,'amazon_sales_data 2025'!G2:G254)</f>
        <v>1400.8</v>
      </c>
      <c r="J10" s="51">
        <f t="shared" si="0"/>
        <v>0.24</v>
      </c>
      <c r="K10" s="51">
        <f t="shared" si="1"/>
        <v>0.28000000000000003</v>
      </c>
      <c r="L10" s="48" t="s">
        <v>381</v>
      </c>
    </row>
    <row r="11" spans="1:12" ht="18" x14ac:dyDescent="0.35">
      <c r="A11" s="47" t="str">
        <v>Home Appliances</v>
      </c>
      <c r="B11" s="48">
        <f>COUNTIF(Table1[Category], 'Revenue MIS Report'!A11)</f>
        <v>40</v>
      </c>
      <c r="C11" s="48">
        <f>COUNTIFS(Table1[Category], A11, Table1[Status], "Completed")</f>
        <v>13</v>
      </c>
      <c r="D11" s="48">
        <f>COUNTIFS(Table1[Category], A11, Table1[Status], "Cancelled")</f>
        <v>16</v>
      </c>
      <c r="E11" s="48">
        <f>COUNTIFS(Table1[Category], A11, Table1[Status], "Pending")</f>
        <v>11</v>
      </c>
      <c r="F11" s="49">
        <f>SUMIF(Table1[Category], A11, Table1[Total Sales])</f>
        <v>105000</v>
      </c>
      <c r="G11" s="49">
        <f>SUMIFS(Table1[Total Sales], Table1[Category], A11, Table1[Status], "Completed")</f>
        <v>29400</v>
      </c>
      <c r="H11" s="49">
        <f>SUMIFS(Table1[Total Sales], Table1[Category], A11, Table1[Status], "Cancelled")</f>
        <v>36000</v>
      </c>
      <c r="I11" s="50">
        <f>AVERAGEIF('amazon_sales_data 2025'!D6:D255,A11,'amazon_sales_data 2025'!G2:G255)</f>
        <v>931.25</v>
      </c>
      <c r="J11" s="51">
        <f t="shared" si="0"/>
        <v>0.32500000000000001</v>
      </c>
      <c r="K11" s="51">
        <f t="shared" si="1"/>
        <v>0.4</v>
      </c>
      <c r="L11" s="48" t="s">
        <v>382</v>
      </c>
    </row>
    <row r="12" spans="1:12" ht="18" x14ac:dyDescent="0.35">
      <c r="A12" s="52" t="s">
        <v>328</v>
      </c>
      <c r="B12" s="52">
        <f>SUM(B7:B11)</f>
        <v>250</v>
      </c>
      <c r="C12" s="52">
        <f>SUM(C7:C11)</f>
        <v>88</v>
      </c>
      <c r="D12" s="52">
        <f>SUM(D7:D11)</f>
        <v>77</v>
      </c>
      <c r="E12" s="52">
        <f>SUM(E7:E11)</f>
        <v>85</v>
      </c>
      <c r="F12" s="53">
        <f>SUM(F7:F11)</f>
        <v>243845</v>
      </c>
      <c r="G12" s="53">
        <f>SUM(G7:G11)</f>
        <v>88530</v>
      </c>
      <c r="H12" s="53">
        <f>SUM(H7:H11)</f>
        <v>65030</v>
      </c>
      <c r="I12" s="54">
        <f>SUM(I7:I11)</f>
        <v>4139.7237288135593</v>
      </c>
    </row>
    <row r="13" spans="1:12" ht="18" x14ac:dyDescent="0.35">
      <c r="J13" s="63"/>
      <c r="K13" s="63"/>
      <c r="L13" s="64"/>
    </row>
    <row r="14" spans="1:12" ht="18" x14ac:dyDescent="0.35">
      <c r="A14" s="71" t="s">
        <v>383</v>
      </c>
      <c r="B14" s="71"/>
      <c r="C14" s="71"/>
      <c r="D14" s="71"/>
      <c r="E14" s="71"/>
      <c r="F14" s="71"/>
      <c r="G14" s="71"/>
      <c r="H14" s="71"/>
      <c r="J14" s="63"/>
      <c r="K14" s="63"/>
      <c r="L14" s="64"/>
    </row>
    <row r="17" spans="1:12" ht="21" x14ac:dyDescent="0.3">
      <c r="A17" s="72" t="s">
        <v>363</v>
      </c>
      <c r="B17" s="72"/>
    </row>
    <row r="18" spans="1:12" ht="18" x14ac:dyDescent="0.35">
      <c r="A18" s="62" t="s">
        <v>364</v>
      </c>
      <c r="B18" s="62" t="s">
        <v>321</v>
      </c>
      <c r="C18" s="62" t="s">
        <v>358</v>
      </c>
      <c r="D18" s="62" t="s">
        <v>359</v>
      </c>
      <c r="E18" s="62" t="s">
        <v>355</v>
      </c>
      <c r="F18" s="62" t="s">
        <v>361</v>
      </c>
      <c r="G18" s="62" t="s">
        <v>365</v>
      </c>
      <c r="H18" s="62" t="s">
        <v>366</v>
      </c>
      <c r="I18" s="62" t="s">
        <v>372</v>
      </c>
    </row>
    <row r="19" spans="1:12" ht="18" x14ac:dyDescent="0.35">
      <c r="A19" s="47" t="s">
        <v>368</v>
      </c>
      <c r="B19" s="48">
        <f>COUNTIF(Table1[Month],A19)</f>
        <v>113</v>
      </c>
      <c r="C19" s="49">
        <f>SUMIF(Table1[Month],'Revenue MIS Report'!A19,Table1[Total Sales])</f>
        <v>122695</v>
      </c>
      <c r="D19" s="56">
        <f>SUMIFS(Table1[Total Sales], Table1[Month], A19, Table1[Status], "Completed")</f>
        <v>40865</v>
      </c>
      <c r="E19" s="48">
        <f>COUNTIFS(Table1[Month], A19, Table1[Status], "Completed")</f>
        <v>36</v>
      </c>
      <c r="F19" s="50">
        <f>D19/E19</f>
        <v>1135.1388888888889</v>
      </c>
      <c r="G19" s="48" t="s">
        <v>367</v>
      </c>
      <c r="H19" s="48" t="s">
        <v>367</v>
      </c>
      <c r="I19" s="49">
        <f>SUM($C$19:C19)</f>
        <v>122695</v>
      </c>
    </row>
    <row r="20" spans="1:12" ht="18" x14ac:dyDescent="0.35">
      <c r="A20" s="47" t="s">
        <v>369</v>
      </c>
      <c r="B20" s="48">
        <f>COUNTIF(Table1[Month],A20)</f>
        <v>131</v>
      </c>
      <c r="C20" s="49">
        <f>SUMIF(Table1[Month],'Revenue MIS Report'!A20,Table1[Total Sales])</f>
        <v>117730</v>
      </c>
      <c r="D20" s="56">
        <f>SUMIFS(Table1[Total Sales], Table1[Month], A20, Table1[Status], "Completed")</f>
        <v>45145</v>
      </c>
      <c r="E20" s="48">
        <f>COUNTIFS(Table1[Month], A20, Table1[Status], "Completed")</f>
        <v>49</v>
      </c>
      <c r="F20" s="50">
        <f t="shared" ref="F20:F21" si="2">D20/E20</f>
        <v>921.32653061224494</v>
      </c>
      <c r="G20" s="49">
        <f>D20-D19</f>
        <v>4280</v>
      </c>
      <c r="H20" s="51">
        <f>G20/D19</f>
        <v>0.10473510338920837</v>
      </c>
      <c r="I20" s="49">
        <f>SUM($C$19:C20)</f>
        <v>240425</v>
      </c>
    </row>
    <row r="21" spans="1:12" ht="18" x14ac:dyDescent="0.35">
      <c r="A21" s="47" t="s">
        <v>370</v>
      </c>
      <c r="B21" s="48">
        <f>COUNTIF(Table1[Month],A21)</f>
        <v>6</v>
      </c>
      <c r="C21" s="49">
        <f>SUMIF(Table1[Month],'Revenue MIS Report'!A21,Table1[Total Sales])</f>
        <v>3420</v>
      </c>
      <c r="D21" s="56">
        <f>SUMIFS(Table1[Total Sales], Table1[Month], A21, Table1[Status], "Completed")</f>
        <v>2520</v>
      </c>
      <c r="E21" s="48">
        <f>COUNTIFS(Table1[Month], A21, Table1[Status], "Completed")</f>
        <v>3</v>
      </c>
      <c r="F21" s="50">
        <f t="shared" si="2"/>
        <v>840</v>
      </c>
      <c r="G21" s="49">
        <f>D21-D20</f>
        <v>-42625</v>
      </c>
      <c r="H21" s="51">
        <f>G21/D20</f>
        <v>-0.94417986487983163</v>
      </c>
      <c r="I21" s="49">
        <f>SUM($C$19:C21)</f>
        <v>243845</v>
      </c>
    </row>
    <row r="22" spans="1:12" ht="18" x14ac:dyDescent="0.35">
      <c r="A22" s="57" t="s">
        <v>328</v>
      </c>
      <c r="B22" s="57">
        <f>SUM(B19:B21)</f>
        <v>250</v>
      </c>
      <c r="C22" s="58">
        <f>SUM(C19:C21)</f>
        <v>243845</v>
      </c>
      <c r="D22" s="59">
        <f>SUM(D19:D21)</f>
        <v>88530</v>
      </c>
      <c r="E22" s="57">
        <f>SUM(E19:E21)</f>
        <v>88</v>
      </c>
      <c r="F22" s="60">
        <f>SUM(F19:F21)</f>
        <v>2896.465419501134</v>
      </c>
    </row>
    <row r="25" spans="1:12" ht="21" x14ac:dyDescent="0.3">
      <c r="A25" s="72" t="s">
        <v>339</v>
      </c>
      <c r="B25" s="72"/>
    </row>
    <row r="26" spans="1:12" ht="18" x14ac:dyDescent="0.35">
      <c r="A26" s="62" t="s">
        <v>9</v>
      </c>
      <c r="B26" s="62" t="s">
        <v>321</v>
      </c>
      <c r="C26" s="62" t="s">
        <v>373</v>
      </c>
      <c r="D26" s="62" t="s">
        <v>358</v>
      </c>
      <c r="E26" s="62" t="s">
        <v>361</v>
      </c>
      <c r="F26" s="62" t="s">
        <v>355</v>
      </c>
      <c r="G26" s="62" t="s">
        <v>322</v>
      </c>
      <c r="H26" s="62" t="s">
        <v>356</v>
      </c>
      <c r="I26" s="62" t="s">
        <v>323</v>
      </c>
      <c r="J26" s="65" t="s">
        <v>362</v>
      </c>
      <c r="K26" s="65"/>
      <c r="L26" s="65"/>
    </row>
    <row r="27" spans="1:12" ht="18" x14ac:dyDescent="0.35">
      <c r="A27" s="47" t="str" cm="1">
        <f t="array" ref="A27:A31">_xlfn.UNIQUE(Table1[Payment Method])</f>
        <v>Debit Card</v>
      </c>
      <c r="B27" s="48">
        <f>COUNTIF(Table1[Payment Method],'Revenue MIS Report'!A27)</f>
        <v>53</v>
      </c>
      <c r="C27" s="51">
        <f>B27/$B$32</f>
        <v>0.21199999999999999</v>
      </c>
      <c r="D27" s="49">
        <f>SUMIF(Table1[Payment Method],'Revenue MIS Report'!A27,Table1[Total Sales])</f>
        <v>31900</v>
      </c>
      <c r="E27" s="50">
        <f>AVERAGEIF(Table1[Payment Method],'Revenue MIS Report'!A27,Table1[Total Sales])</f>
        <v>601.88679245283015</v>
      </c>
      <c r="F27" s="48">
        <f>COUNTIFS(Table1[Payment Method], A27, Table1[Status], "Completed")</f>
        <v>14</v>
      </c>
      <c r="G27" s="61">
        <f>F27/$F$32</f>
        <v>0.15909090909090909</v>
      </c>
      <c r="H27" s="48">
        <f>COUNTIFS(Table1[Payment Method], A27, Table1[Status], "Cancelled")</f>
        <v>20</v>
      </c>
      <c r="I27" s="51">
        <f>H27/$H$32</f>
        <v>0.25974025974025972</v>
      </c>
      <c r="J27" s="68" t="s">
        <v>384</v>
      </c>
      <c r="K27" s="68"/>
      <c r="L27" s="68"/>
    </row>
    <row r="28" spans="1:12" ht="18" x14ac:dyDescent="0.35">
      <c r="A28" s="47" t="str">
        <v>Amazon Pay</v>
      </c>
      <c r="B28" s="48">
        <f>COUNTIF(Table1[Payment Method],'Revenue MIS Report'!A28)</f>
        <v>41</v>
      </c>
      <c r="C28" s="51">
        <f t="shared" ref="C28:C31" si="3">B28/$B$32</f>
        <v>0.16400000000000001</v>
      </c>
      <c r="D28" s="49">
        <f>SUMIF(Table1[Payment Method],'Revenue MIS Report'!A28,Table1[Total Sales])</f>
        <v>32750</v>
      </c>
      <c r="E28" s="50">
        <f>AVERAGEIF(Table1[Payment Method],'Revenue MIS Report'!A28,Table1[Total Sales])</f>
        <v>798.78048780487802</v>
      </c>
      <c r="F28" s="48">
        <f>COUNTIFS(Table1[Payment Method], A28, Table1[Status], "Completed")</f>
        <v>21</v>
      </c>
      <c r="G28" s="61">
        <f t="shared" ref="G28:G31" si="4">F28/$F$32</f>
        <v>0.23863636363636365</v>
      </c>
      <c r="H28" s="48">
        <f>COUNTIFS(Table1[Payment Method], A28, Table1[Status], "Cancelled")</f>
        <v>7</v>
      </c>
      <c r="I28" s="51">
        <f t="shared" ref="I28:I31" si="5">H28/$H$32</f>
        <v>9.0909090909090912E-2</v>
      </c>
      <c r="J28" s="69" t="s">
        <v>385</v>
      </c>
      <c r="K28" s="69"/>
      <c r="L28" s="69"/>
    </row>
    <row r="29" spans="1:12" ht="18" x14ac:dyDescent="0.35">
      <c r="A29" s="47" t="str">
        <v>Credit Card</v>
      </c>
      <c r="B29" s="48">
        <f>COUNTIF(Table1[Payment Method],'Revenue MIS Report'!A29)</f>
        <v>54</v>
      </c>
      <c r="C29" s="51">
        <f t="shared" si="3"/>
        <v>0.216</v>
      </c>
      <c r="D29" s="49">
        <f>SUMIF(Table1[Payment Method],'Revenue MIS Report'!A29,Table1[Total Sales])</f>
        <v>61595</v>
      </c>
      <c r="E29" s="50">
        <f>AVERAGEIF(Table1[Payment Method],'Revenue MIS Report'!A29,Table1[Total Sales])</f>
        <v>1140.648148148148</v>
      </c>
      <c r="F29" s="48">
        <f>COUNTIFS(Table1[Payment Method], A29, Table1[Status], "Completed")</f>
        <v>17</v>
      </c>
      <c r="G29" s="61">
        <f t="shared" si="4"/>
        <v>0.19318181818181818</v>
      </c>
      <c r="H29" s="48">
        <f>COUNTIFS(Table1[Payment Method], A29, Table1[Status], "Cancelled")</f>
        <v>16</v>
      </c>
      <c r="I29" s="51">
        <f t="shared" si="5"/>
        <v>0.20779220779220781</v>
      </c>
      <c r="J29" s="69" t="s">
        <v>386</v>
      </c>
      <c r="K29" s="69"/>
      <c r="L29" s="69"/>
    </row>
    <row r="30" spans="1:12" ht="18" x14ac:dyDescent="0.35">
      <c r="A30" s="47" t="str">
        <v>PayPal</v>
      </c>
      <c r="B30" s="48">
        <f>COUNTIF(Table1[Payment Method],'Revenue MIS Report'!A30)</f>
        <v>60</v>
      </c>
      <c r="C30" s="51">
        <f t="shared" si="3"/>
        <v>0.24</v>
      </c>
      <c r="D30" s="49">
        <f>SUMIF(Table1[Payment Method],'Revenue MIS Report'!A30,Table1[Total Sales])</f>
        <v>69645</v>
      </c>
      <c r="E30" s="50">
        <f>AVERAGEIF(Table1[Payment Method],'Revenue MIS Report'!A30,Table1[Total Sales])</f>
        <v>1160.75</v>
      </c>
      <c r="F30" s="48">
        <f>COUNTIFS(Table1[Payment Method], A30, Table1[Status], "Completed")</f>
        <v>30</v>
      </c>
      <c r="G30" s="61">
        <f t="shared" si="4"/>
        <v>0.34090909090909088</v>
      </c>
      <c r="H30" s="48">
        <f>COUNTIFS(Table1[Payment Method], A30, Table1[Status], "Cancelled")</f>
        <v>16</v>
      </c>
      <c r="I30" s="51">
        <f t="shared" si="5"/>
        <v>0.20779220779220781</v>
      </c>
      <c r="J30" s="69" t="s">
        <v>387</v>
      </c>
      <c r="K30" s="69"/>
      <c r="L30" s="69"/>
    </row>
    <row r="31" spans="1:12" ht="18" x14ac:dyDescent="0.35">
      <c r="A31" s="47" t="str">
        <v>Gift Card</v>
      </c>
      <c r="B31" s="48">
        <f>COUNTIF(Table1[Payment Method],'Revenue MIS Report'!A31)</f>
        <v>42</v>
      </c>
      <c r="C31" s="51">
        <f t="shared" si="3"/>
        <v>0.16800000000000001</v>
      </c>
      <c r="D31" s="49">
        <f>SUMIF(Table1[Payment Method],'Revenue MIS Report'!A31,Table1[Total Sales])</f>
        <v>47955</v>
      </c>
      <c r="E31" s="50">
        <f>AVERAGEIF(Table1[Payment Method],'Revenue MIS Report'!A31,Table1[Total Sales])</f>
        <v>1141.7857142857142</v>
      </c>
      <c r="F31" s="48">
        <f>COUNTIFS(Table1[Payment Method], A31, Table1[Status], "Completed")</f>
        <v>6</v>
      </c>
      <c r="G31" s="61">
        <f t="shared" si="4"/>
        <v>6.8181818181818177E-2</v>
      </c>
      <c r="H31" s="48">
        <f>COUNTIFS(Table1[Payment Method], A31, Table1[Status], "Cancelled")</f>
        <v>18</v>
      </c>
      <c r="I31" s="51">
        <f t="shared" si="5"/>
        <v>0.23376623376623376</v>
      </c>
      <c r="J31" s="69" t="s">
        <v>388</v>
      </c>
      <c r="K31" s="69"/>
      <c r="L31" s="69"/>
    </row>
    <row r="32" spans="1:12" ht="18" x14ac:dyDescent="0.35">
      <c r="A32" s="57" t="s">
        <v>328</v>
      </c>
      <c r="B32" s="57">
        <f>SUM(B27:B31)</f>
        <v>250</v>
      </c>
      <c r="D32" s="58">
        <f>SUM(D27:D31)</f>
        <v>243845</v>
      </c>
      <c r="E32" s="60">
        <f>SUM(E27:E31)</f>
        <v>4843.8511426915702</v>
      </c>
      <c r="F32" s="57">
        <f>SUM(F27:F31)</f>
        <v>88</v>
      </c>
      <c r="H32" s="57">
        <f>SUM(H27:H31)</f>
        <v>77</v>
      </c>
    </row>
    <row r="33" spans="1:12" ht="18" x14ac:dyDescent="0.35">
      <c r="J33" s="70"/>
      <c r="K33" s="70"/>
      <c r="L33" s="70"/>
    </row>
    <row r="34" spans="1:12" ht="18" x14ac:dyDescent="0.35">
      <c r="A34" s="71" t="s">
        <v>389</v>
      </c>
      <c r="B34" s="71"/>
      <c r="C34" s="71"/>
      <c r="D34" s="71"/>
      <c r="E34" s="71"/>
      <c r="F34" s="71"/>
      <c r="G34" s="71"/>
      <c r="H34" s="71"/>
      <c r="J34" s="70"/>
      <c r="K34" s="70"/>
      <c r="L34" s="70"/>
    </row>
    <row r="37" spans="1:12" ht="21" x14ac:dyDescent="0.3">
      <c r="A37" s="72" t="s">
        <v>374</v>
      </c>
      <c r="B37" s="72"/>
    </row>
    <row r="38" spans="1:12" ht="18" x14ac:dyDescent="0.35">
      <c r="A38" s="62" t="s">
        <v>375</v>
      </c>
      <c r="B38" s="62" t="s">
        <v>321</v>
      </c>
      <c r="C38" s="62" t="s">
        <v>358</v>
      </c>
      <c r="D38" s="62" t="s">
        <v>376</v>
      </c>
      <c r="E38" s="62" t="s">
        <v>361</v>
      </c>
      <c r="F38" s="62" t="s">
        <v>323</v>
      </c>
      <c r="G38" s="62" t="s">
        <v>377</v>
      </c>
      <c r="H38" s="65" t="s">
        <v>362</v>
      </c>
      <c r="I38" s="65"/>
      <c r="J38" s="65"/>
      <c r="K38" s="65"/>
    </row>
    <row r="39" spans="1:12" ht="18" x14ac:dyDescent="0.35">
      <c r="A39" s="47" t="str" cm="1">
        <f t="array" ref="A39:A48">_xlfn.UNIQUE(Table1[Customer Location])</f>
        <v>New York</v>
      </c>
      <c r="B39" s="48">
        <f>COUNTIF(Table1[Customer Location],'Revenue MIS Report'!A39)</f>
        <v>26</v>
      </c>
      <c r="C39" s="49">
        <f>SUMIF(Table1[Customer Location],'Revenue MIS Report'!A39,Table1[Total Sales])</f>
        <v>18940</v>
      </c>
      <c r="D39" s="51">
        <f>C39/$C$49</f>
        <v>7.7672291824724723E-2</v>
      </c>
      <c r="E39" s="50">
        <f>AVERAGEIF(Table1[Customer Location],'Revenue MIS Report'!A39,Table1[Total Sales])</f>
        <v>728.46153846153845</v>
      </c>
      <c r="F39" s="51">
        <f>COUNTIFS(Table1[Customer Location],'Revenue MIS Report'!A39,Table1[Status],"Cancelled")/COUNTIF(Table1[Customer Location],'Revenue MIS Report'!A39)</f>
        <v>0.34615384615384615</v>
      </c>
      <c r="G39" s="48">
        <f>RANK(C39,$C$39:$C$48,0)</f>
        <v>8</v>
      </c>
      <c r="H39" s="69" t="s">
        <v>390</v>
      </c>
      <c r="I39" s="69"/>
      <c r="J39" s="69"/>
      <c r="K39" s="69"/>
    </row>
    <row r="40" spans="1:12" ht="18" x14ac:dyDescent="0.35">
      <c r="A40" s="47" t="str">
        <v>San Francisco</v>
      </c>
      <c r="B40" s="48">
        <f>COUNTIF(Table1[Customer Location],'Revenue MIS Report'!A40)</f>
        <v>19</v>
      </c>
      <c r="C40" s="49">
        <f>SUMIF(Table1[Customer Location],'Revenue MIS Report'!A40,Table1[Total Sales])</f>
        <v>16195</v>
      </c>
      <c r="D40" s="51">
        <f t="shared" ref="D40:D48" si="6">C40/$C$49</f>
        <v>6.6415140765650305E-2</v>
      </c>
      <c r="E40" s="50">
        <f>AVERAGEIF(Table1[Customer Location],'Revenue MIS Report'!A40,Table1[Total Sales])</f>
        <v>852.36842105263156</v>
      </c>
      <c r="F40" s="51">
        <f>COUNTIFS(Table1[Customer Location],'Revenue MIS Report'!A40,Table1[Status],"Cancelled")/COUNTIF(Table1[Customer Location],'Revenue MIS Report'!A40)</f>
        <v>0.15789473684210525</v>
      </c>
      <c r="G40" s="48">
        <f t="shared" ref="G40:G48" si="7">RANK(C40,$C$39:$C$48,0)</f>
        <v>10</v>
      </c>
      <c r="H40" s="69" t="s">
        <v>391</v>
      </c>
      <c r="I40" s="69"/>
      <c r="J40" s="69"/>
      <c r="K40" s="69"/>
    </row>
    <row r="41" spans="1:12" ht="18" x14ac:dyDescent="0.35">
      <c r="A41" s="47" t="str">
        <v>Denver</v>
      </c>
      <c r="B41" s="48">
        <f>COUNTIF(Table1[Customer Location],'Revenue MIS Report'!A41)</f>
        <v>26</v>
      </c>
      <c r="C41" s="49">
        <f>SUMIF(Table1[Customer Location],'Revenue MIS Report'!A41,Table1[Total Sales])</f>
        <v>29785</v>
      </c>
      <c r="D41" s="51">
        <f t="shared" si="6"/>
        <v>0.12214726568106789</v>
      </c>
      <c r="E41" s="50">
        <f>AVERAGEIF(Table1[Customer Location],'Revenue MIS Report'!A41,Table1[Total Sales])</f>
        <v>1145.5769230769231</v>
      </c>
      <c r="F41" s="51">
        <f>COUNTIFS(Table1[Customer Location],'Revenue MIS Report'!A41,Table1[Status],"Cancelled")/COUNTIF(Table1[Customer Location],'Revenue MIS Report'!A41)</f>
        <v>0.34615384615384615</v>
      </c>
      <c r="G41" s="48">
        <f t="shared" si="7"/>
        <v>2</v>
      </c>
      <c r="H41" s="69" t="s">
        <v>392</v>
      </c>
      <c r="I41" s="69"/>
      <c r="J41" s="69"/>
      <c r="K41" s="69"/>
    </row>
    <row r="42" spans="1:12" ht="18" x14ac:dyDescent="0.35">
      <c r="A42" s="47" t="str">
        <v>Dallas</v>
      </c>
      <c r="B42" s="48">
        <f>COUNTIF(Table1[Customer Location],'Revenue MIS Report'!A42)</f>
        <v>29</v>
      </c>
      <c r="C42" s="49">
        <f>SUMIF(Table1[Customer Location],'Revenue MIS Report'!A42,Table1[Total Sales])</f>
        <v>27145</v>
      </c>
      <c r="D42" s="51">
        <f t="shared" si="6"/>
        <v>0.11132071602862474</v>
      </c>
      <c r="E42" s="50">
        <f>AVERAGEIF(Table1[Customer Location],'Revenue MIS Report'!A42,Table1[Total Sales])</f>
        <v>936.0344827586207</v>
      </c>
      <c r="F42" s="51">
        <f>COUNTIFS(Table1[Customer Location],'Revenue MIS Report'!A42,Table1[Status],"Cancelled")/COUNTIF(Table1[Customer Location],'Revenue MIS Report'!A42)</f>
        <v>0.37931034482758619</v>
      </c>
      <c r="G42" s="48">
        <f t="shared" si="7"/>
        <v>4</v>
      </c>
      <c r="H42" s="69" t="s">
        <v>393</v>
      </c>
      <c r="I42" s="69"/>
      <c r="J42" s="69"/>
      <c r="K42" s="69"/>
    </row>
    <row r="43" spans="1:12" ht="18" x14ac:dyDescent="0.35">
      <c r="A43" s="47" t="str">
        <v>Houston</v>
      </c>
      <c r="B43" s="48">
        <f>COUNTIF(Table1[Customer Location],'Revenue MIS Report'!A43)</f>
        <v>32</v>
      </c>
      <c r="C43" s="49">
        <f>SUMIF(Table1[Customer Location],'Revenue MIS Report'!A43,Table1[Total Sales])</f>
        <v>28390</v>
      </c>
      <c r="D43" s="51">
        <f t="shared" si="6"/>
        <v>0.11642641842153827</v>
      </c>
      <c r="E43" s="50">
        <f>AVERAGEIF(Table1[Customer Location],'Revenue MIS Report'!A43,Table1[Total Sales])</f>
        <v>887.1875</v>
      </c>
      <c r="F43" s="51">
        <f>COUNTIFS(Table1[Customer Location],'Revenue MIS Report'!A43,Table1[Status],"Cancelled")/COUNTIF(Table1[Customer Location],'Revenue MIS Report'!A43)</f>
        <v>0.21875</v>
      </c>
      <c r="G43" s="48">
        <f t="shared" si="7"/>
        <v>3</v>
      </c>
      <c r="H43" s="69" t="s">
        <v>394</v>
      </c>
      <c r="I43" s="69"/>
      <c r="J43" s="69"/>
      <c r="K43" s="69"/>
    </row>
    <row r="44" spans="1:12" ht="18" x14ac:dyDescent="0.35">
      <c r="A44" s="47" t="str">
        <v>Miami</v>
      </c>
      <c r="B44" s="48">
        <f>COUNTIF(Table1[Customer Location],'Revenue MIS Report'!A44)</f>
        <v>31</v>
      </c>
      <c r="C44" s="49">
        <f>SUMIF(Table1[Customer Location],'Revenue MIS Report'!A44,Table1[Total Sales])</f>
        <v>31700</v>
      </c>
      <c r="D44" s="51">
        <f t="shared" si="6"/>
        <v>0.1300006151448666</v>
      </c>
      <c r="E44" s="50">
        <f>AVERAGEIF(Table1[Customer Location],'Revenue MIS Report'!A44,Table1[Total Sales])</f>
        <v>1022.5806451612904</v>
      </c>
      <c r="F44" s="51">
        <f>COUNTIFS(Table1[Customer Location],'Revenue MIS Report'!A44,Table1[Status],"Cancelled")/COUNTIF(Table1[Customer Location],'Revenue MIS Report'!A44)</f>
        <v>0.38709677419354838</v>
      </c>
      <c r="G44" s="48">
        <f t="shared" si="7"/>
        <v>1</v>
      </c>
      <c r="H44" s="69" t="s">
        <v>395</v>
      </c>
      <c r="I44" s="69"/>
      <c r="J44" s="69"/>
      <c r="K44" s="69"/>
    </row>
    <row r="45" spans="1:12" ht="18" x14ac:dyDescent="0.35">
      <c r="A45" s="47" t="str">
        <v>Boston</v>
      </c>
      <c r="B45" s="48">
        <f>COUNTIF(Table1[Customer Location],'Revenue MIS Report'!A45)</f>
        <v>26</v>
      </c>
      <c r="C45" s="49">
        <f>SUMIF(Table1[Customer Location],'Revenue MIS Report'!A45,Table1[Total Sales])</f>
        <v>26170</v>
      </c>
      <c r="D45" s="51">
        <f t="shared" si="6"/>
        <v>0.10732227439562017</v>
      </c>
      <c r="E45" s="50">
        <f>AVERAGEIF(Table1[Customer Location],'Revenue MIS Report'!A45,Table1[Total Sales])</f>
        <v>1006.5384615384615</v>
      </c>
      <c r="F45" s="51">
        <f>COUNTIFS(Table1[Customer Location],'Revenue MIS Report'!A45,Table1[Status],"Cancelled")/COUNTIF(Table1[Customer Location],'Revenue MIS Report'!A45)</f>
        <v>0.26923076923076922</v>
      </c>
      <c r="G45" s="48">
        <f t="shared" si="7"/>
        <v>6</v>
      </c>
      <c r="H45" s="69" t="s">
        <v>396</v>
      </c>
      <c r="I45" s="69"/>
      <c r="J45" s="69"/>
      <c r="K45" s="69"/>
    </row>
    <row r="46" spans="1:12" ht="18" x14ac:dyDescent="0.35">
      <c r="A46" s="47" t="str">
        <v>Seattle</v>
      </c>
      <c r="B46" s="48">
        <f>COUNTIF(Table1[Customer Location],'Revenue MIS Report'!A46)</f>
        <v>22</v>
      </c>
      <c r="C46" s="49">
        <f>SUMIF(Table1[Customer Location],'Revenue MIS Report'!A46,Table1[Total Sales])</f>
        <v>26890</v>
      </c>
      <c r="D46" s="51">
        <f t="shared" si="6"/>
        <v>0.11027496975537739</v>
      </c>
      <c r="E46" s="50">
        <f>AVERAGEIF(Table1[Customer Location],'Revenue MIS Report'!A46,Table1[Total Sales])</f>
        <v>1222.2727272727273</v>
      </c>
      <c r="F46" s="51">
        <f>COUNTIFS(Table1[Customer Location],'Revenue MIS Report'!A46,Table1[Status],"Cancelled")/COUNTIF(Table1[Customer Location],'Revenue MIS Report'!A46)</f>
        <v>0.22727272727272727</v>
      </c>
      <c r="G46" s="48">
        <f t="shared" si="7"/>
        <v>5</v>
      </c>
      <c r="H46" s="69" t="s">
        <v>397</v>
      </c>
      <c r="I46" s="69"/>
      <c r="J46" s="69"/>
      <c r="K46" s="69"/>
    </row>
    <row r="47" spans="1:12" ht="18" x14ac:dyDescent="0.35">
      <c r="A47" s="47" t="str">
        <v>Los Angeles</v>
      </c>
      <c r="B47" s="48">
        <f>COUNTIF(Table1[Customer Location],'Revenue MIS Report'!A47)</f>
        <v>17</v>
      </c>
      <c r="C47" s="49">
        <f>SUMIF(Table1[Customer Location],'Revenue MIS Report'!A47,Table1[Total Sales])</f>
        <v>17820</v>
      </c>
      <c r="D47" s="51">
        <f t="shared" si="6"/>
        <v>7.307921015399127E-2</v>
      </c>
      <c r="E47" s="50">
        <f>AVERAGEIF(Table1[Customer Location],'Revenue MIS Report'!A47,Table1[Total Sales])</f>
        <v>1048.2352941176471</v>
      </c>
      <c r="F47" s="51">
        <f>COUNTIFS(Table1[Customer Location],'Revenue MIS Report'!A47,Table1[Status],"Cancelled")/COUNTIF(Table1[Customer Location],'Revenue MIS Report'!A47)</f>
        <v>0.52941176470588236</v>
      </c>
      <c r="G47" s="48">
        <f t="shared" si="7"/>
        <v>9</v>
      </c>
      <c r="H47" s="69" t="s">
        <v>398</v>
      </c>
      <c r="I47" s="69"/>
      <c r="J47" s="69"/>
      <c r="K47" s="69"/>
    </row>
    <row r="48" spans="1:12" ht="18" x14ac:dyDescent="0.35">
      <c r="A48" s="47" t="str">
        <v>Chicago</v>
      </c>
      <c r="B48" s="48">
        <f>COUNTIF(Table1[Customer Location],'Revenue MIS Report'!A48)</f>
        <v>22</v>
      </c>
      <c r="C48" s="49">
        <f>SUMIF(Table1[Customer Location],'Revenue MIS Report'!A48,Table1[Total Sales])</f>
        <v>20810</v>
      </c>
      <c r="D48" s="51">
        <f t="shared" si="6"/>
        <v>8.5341097828538617E-2</v>
      </c>
      <c r="E48" s="50">
        <f>AVERAGEIF(Table1[Customer Location],'Revenue MIS Report'!A48,Table1[Total Sales])</f>
        <v>945.90909090909088</v>
      </c>
      <c r="F48" s="51">
        <f>COUNTIFS(Table1[Customer Location],'Revenue MIS Report'!A48,Table1[Status],"Cancelled")/COUNTIF(Table1[Customer Location],'Revenue MIS Report'!A48)</f>
        <v>0.22727272727272727</v>
      </c>
      <c r="G48" s="48">
        <f t="shared" si="7"/>
        <v>7</v>
      </c>
      <c r="H48" s="69" t="s">
        <v>399</v>
      </c>
      <c r="I48" s="69"/>
      <c r="J48" s="69"/>
      <c r="K48" s="69"/>
    </row>
    <row r="49" spans="1:11" ht="18" x14ac:dyDescent="0.35">
      <c r="A49" s="57" t="s">
        <v>328</v>
      </c>
      <c r="B49" s="57">
        <f>SUM(B39:B48)</f>
        <v>250</v>
      </c>
      <c r="C49" s="58">
        <f>SUM(C39:C48)</f>
        <v>243845</v>
      </c>
      <c r="E49" s="60">
        <f>SUM(E39:E48)</f>
        <v>9795.1650843489315</v>
      </c>
      <c r="H49" s="66"/>
      <c r="I49" s="67"/>
      <c r="J49" s="67"/>
      <c r="K49" s="67"/>
    </row>
    <row r="51" spans="1:11" ht="18" x14ac:dyDescent="0.3">
      <c r="A51" s="71" t="s">
        <v>400</v>
      </c>
      <c r="B51" s="71"/>
      <c r="C51" s="71"/>
      <c r="D51" s="71"/>
      <c r="E51" s="71"/>
      <c r="F51" s="71"/>
      <c r="G51" s="71"/>
      <c r="H51" s="71"/>
      <c r="I51" s="71"/>
    </row>
    <row r="54" spans="1:11" ht="14.4" customHeight="1" x14ac:dyDescent="0.3">
      <c r="A54" s="73"/>
      <c r="B54" s="73"/>
      <c r="C54" s="73"/>
      <c r="D54" s="73"/>
      <c r="E54" s="73"/>
      <c r="F54" s="73"/>
      <c r="G54" s="73"/>
      <c r="H54" s="73"/>
    </row>
    <row r="55" spans="1:11" ht="14.4" customHeight="1" x14ac:dyDescent="0.3">
      <c r="A55" s="73"/>
      <c r="B55" s="73"/>
      <c r="C55" s="73"/>
      <c r="D55" s="73"/>
      <c r="E55" s="73"/>
      <c r="F55" s="73"/>
      <c r="G55" s="73"/>
      <c r="H55" s="73"/>
    </row>
    <row r="56" spans="1:11" ht="14.4" customHeight="1" x14ac:dyDescent="0.3">
      <c r="A56" s="73"/>
      <c r="B56" s="73"/>
      <c r="C56" s="73"/>
      <c r="D56" s="73"/>
      <c r="E56" s="73"/>
      <c r="F56" s="73"/>
      <c r="G56" s="73"/>
      <c r="H56" s="73"/>
    </row>
  </sheetData>
  <mergeCells count="26">
    <mergeCell ref="A1:K2"/>
    <mergeCell ref="H49:K49"/>
    <mergeCell ref="A51:I51"/>
    <mergeCell ref="A5:B5"/>
    <mergeCell ref="A17:B17"/>
    <mergeCell ref="A25:B25"/>
    <mergeCell ref="A37:B37"/>
    <mergeCell ref="H40:K40"/>
    <mergeCell ref="H41:K41"/>
    <mergeCell ref="H42:K42"/>
    <mergeCell ref="H43:K43"/>
    <mergeCell ref="H44:K44"/>
    <mergeCell ref="H45:K45"/>
    <mergeCell ref="H46:K46"/>
    <mergeCell ref="H47:K47"/>
    <mergeCell ref="H48:K48"/>
    <mergeCell ref="J29:L29"/>
    <mergeCell ref="J30:L30"/>
    <mergeCell ref="J31:L31"/>
    <mergeCell ref="A34:H34"/>
    <mergeCell ref="H39:K39"/>
    <mergeCell ref="H38:K38"/>
    <mergeCell ref="A14:H14"/>
    <mergeCell ref="J27:L27"/>
    <mergeCell ref="J26:L26"/>
    <mergeCell ref="J28:L28"/>
  </mergeCells>
  <conditionalFormatting sqref="K7:K11 K13:K14">
    <cfRule type="cellIs" dxfId="1" priority="2" operator="between">
      <formula>0.15</formula>
      <formula>0.25</formula>
    </cfRule>
    <cfRule type="cellIs" dxfId="0" priority="3" operator="greaterThan">
      <formula>0.25</formula>
    </cfRule>
  </conditionalFormatting>
  <conditionalFormatting sqref="H19:H21">
    <cfRule type="colorScale" priority="1">
      <colorScale>
        <cfvo type="min"/>
        <cfvo type="max"/>
        <color rgb="FFFF5A33"/>
        <color theme="9" tint="0.39997558519241921"/>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AF327F70-A657-42DE-A1A5-BB9E230DB32D}">
          <x14:colorSeries rgb="FF376092"/>
          <x14:colorNegative rgb="FFD00000"/>
          <x14:colorAxis rgb="FF000000"/>
          <x14:colorMarkers rgb="FFD00000"/>
          <x14:colorFirst rgb="FFD00000"/>
          <x14:colorLast rgb="FFD00000"/>
          <x14:colorHigh rgb="FFD00000"/>
          <x14:colorLow rgb="FFD00000"/>
          <x14:sparklines>
            <x14:sparkline>
              <xm:f>'Revenue MIS Report'!C19:C21</xm:f>
              <xm:sqref>C19</xm:sqref>
            </x14:sparkline>
            <x14:sparkline>
              <xm:f>'Revenue MIS Report'!C20:C23</xm:f>
              <xm:sqref>C20</xm:sqref>
            </x14:sparkline>
            <x14:sparkline>
              <xm:f>'Revenue MIS Report'!C21:C24</xm:f>
              <xm:sqref>C21</xm:sqref>
            </x14:sparkline>
            <x14:sparkline>
              <xm:f>'Revenue MIS Report'!C22:C25</xm:f>
              <xm:sqref>C22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amazon_sales_data 2025</vt:lpstr>
      <vt:lpstr>Data Validation</vt:lpstr>
      <vt:lpstr>KPI's &amp; Pivot</vt:lpstr>
      <vt:lpstr>Key Analysis</vt:lpstr>
      <vt:lpstr>Dashboard</vt:lpstr>
      <vt:lpstr>Revenue MIS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Soumi Mukherjee</dc:creator>
  <cp:lastModifiedBy>Soumi Mukherjee</cp:lastModifiedBy>
  <dcterms:created xsi:type="dcterms:W3CDTF">2026-03-01T13:23:23Z</dcterms:created>
  <dcterms:modified xsi:type="dcterms:W3CDTF">2026-03-04T11:33:54Z</dcterms:modified>
</cp:coreProperties>
</file>